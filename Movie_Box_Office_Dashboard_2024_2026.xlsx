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tdeb4\Downloads\"/>
    </mc:Choice>
  </mc:AlternateContent>
  <xr:revisionPtr revIDLastSave="0" documentId="13_ncr:1_{86F6C53B-C456-459C-AC8A-A4870F90776A}" xr6:coauthVersionLast="47" xr6:coauthVersionMax="47" xr10:uidLastSave="{00000000-0000-0000-0000-000000000000}"/>
  <bookViews>
    <workbookView xWindow="-108" yWindow="-108" windowWidth="23256" windowHeight="13176" activeTab="1" xr2:uid="{1EDF1F7E-B68C-405F-90F3-B1FC693D44E0}"/>
  </bookViews>
  <sheets>
    <sheet name="Master Data" sheetId="1" r:id="rId1"/>
    <sheet name="Box Office Summary" sheetId="5" r:id="rId2"/>
  </sheets>
  <definedNames>
    <definedName name="Slicer_Release_Year">#N/A</definedName>
  </definedNames>
  <calcPr calcId="191028"/>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I924" i="1"/>
  <c r="J924" i="1"/>
  <c r="K924" i="1"/>
  <c r="L924" i="1"/>
  <c r="I923" i="1"/>
  <c r="J923" i="1"/>
  <c r="K923" i="1"/>
  <c r="L923" i="1"/>
  <c r="I922" i="1"/>
  <c r="J922" i="1"/>
  <c r="K922" i="1"/>
  <c r="L922" i="1"/>
  <c r="I921" i="1"/>
  <c r="J921" i="1"/>
  <c r="K921" i="1"/>
  <c r="L921" i="1"/>
  <c r="I920" i="1"/>
  <c r="J920" i="1"/>
  <c r="K920" i="1"/>
  <c r="L920" i="1"/>
  <c r="E924" i="1"/>
  <c r="E923" i="1"/>
  <c r="E922" i="1"/>
  <c r="E921" i="1"/>
  <c r="E92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H3" i="1" a="1"/>
  <c r="H3" i="1" s="1"/>
  <c r="H2" i="1" a="1"/>
  <c r="H2"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c r="H910" i="1" a="1"/>
  <c r="H910" i="1" s="1"/>
  <c r="H911" i="1" a="1"/>
  <c r="H911" i="1" s="1"/>
  <c r="H912" i="1" a="1"/>
  <c r="H912" i="1" s="1"/>
  <c r="H913" i="1" a="1"/>
  <c r="H913" i="1" s="1"/>
  <c r="H914" i="1" a="1"/>
  <c r="H914" i="1" s="1"/>
  <c r="H915" i="1" a="1"/>
  <c r="H915" i="1" s="1"/>
  <c r="H916" i="1" a="1"/>
  <c r="H916" i="1" s="1"/>
  <c r="H917" i="1" a="1"/>
  <c r="H917" i="1" s="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<sst xmlns="http://schemas.openxmlformats.org/spreadsheetml/2006/main" count="5226" uniqueCount="2196">
  <si>
    <t>The Mummy Murders</t>
  </si>
  <si>
    <t>January</t>
  </si>
  <si>
    <t>Horror, Mystery, Thriller</t>
  </si>
  <si>
    <t>Gravitas Ventures</t>
  </si>
  <si>
    <t>R</t>
  </si>
  <si>
    <t>DarkGame</t>
  </si>
  <si>
    <t>Howard J. Ford</t>
  </si>
  <si>
    <t>He Went That Way</t>
  </si>
  <si>
    <t>Sci-Fi, Adventure</t>
  </si>
  <si>
    <t>Jeffrey Darling</t>
  </si>
  <si>
    <t>Vertical Entertainment/Mister Smith Entertainment</t>
  </si>
  <si>
    <t>PG-13</t>
  </si>
  <si>
    <t>The Painter</t>
  </si>
  <si>
    <t>Kimani Ray Smith</t>
  </si>
  <si>
    <t>Republic Pictures</t>
  </si>
  <si>
    <t>The Bricklayer</t>
  </si>
  <si>
    <t>Renny Harlin</t>
  </si>
  <si>
    <t>Vertical Entertainment/Millennium Media</t>
  </si>
  <si>
    <t>Some Other Woman</t>
  </si>
  <si>
    <t>Adventure, Drama</t>
  </si>
  <si>
    <t>Joel David Moore</t>
  </si>
  <si>
    <t>Radiant Films International / Balcony 9 Productions</t>
  </si>
  <si>
    <t>We Strangers</t>
  </si>
  <si>
    <t>Drama, Thriller</t>
  </si>
  <si>
    <t>Anu Valia</t>
  </si>
  <si>
    <t>Pigasus Pictures, Wingate Media, Mirmade, Killjoy Films</t>
  </si>
  <si>
    <t>The Beekeeper</t>
  </si>
  <si>
    <t>Action, Adventure, Drama, History</t>
  </si>
  <si>
    <t>David Ayer</t>
  </si>
  <si>
    <t>Metro-Goldwyn-Mayer/Miramax</t>
  </si>
  <si>
    <t>Mean Girls</t>
  </si>
  <si>
    <t>Musical, Drama</t>
  </si>
  <si>
    <t>Arturo Perez Jr., Samantha Jayne</t>
  </si>
  <si>
    <t>Paramount Pictures/Broadway Video/Little Stranger</t>
  </si>
  <si>
    <t>Lift</t>
  </si>
  <si>
    <t>Romance, Drama</t>
  </si>
  <si>
    <t>F. Gary Gray</t>
  </si>
  <si>
    <t>Netflix/Genre Films/6th &amp; Idaho Productions</t>
  </si>
  <si>
    <t>Role Play</t>
  </si>
  <si>
    <t>Drama</t>
  </si>
  <si>
    <t>Thomas Vincent</t>
  </si>
  <si>
    <t>Amazon MGM Studios/The Picture Company/StudioCanal</t>
  </si>
  <si>
    <t>The Night They Came Home</t>
  </si>
  <si>
    <t>Paul G. Volk</t>
  </si>
  <si>
    <t>Lionsgate Home Entertainment</t>
  </si>
  <si>
    <t>Destroy All Neighbors</t>
  </si>
  <si>
    <t>Josh Forbes</t>
  </si>
  <si>
    <t>RLJE Films/Shudder</t>
  </si>
  <si>
    <t>Hellhound</t>
  </si>
  <si>
    <t>Comedy, Drama</t>
  </si>
  <si>
    <t>Joshua Dixon</t>
  </si>
  <si>
    <t>Saban Films/ Mbrella Films</t>
  </si>
  <si>
    <t>Wanted Man</t>
  </si>
  <si>
    <t>Quiver Distribution/Millennium Media</t>
  </si>
  <si>
    <t>I.S.S.</t>
  </si>
  <si>
    <t>Gabriela Cowperthwaite</t>
  </si>
  <si>
    <t>Bleecker Street/LD Entertainment</t>
  </si>
  <si>
    <t>Sunrise</t>
  </si>
  <si>
    <t>Andrew Baird</t>
  </si>
  <si>
    <t>Lionsgate/Grindstone Entertainment Group</t>
  </si>
  <si>
    <t>Which Brings Me to You</t>
  </si>
  <si>
    <t>Action, Thriller</t>
  </si>
  <si>
    <t>Peter Hutchings</t>
  </si>
  <si>
    <t>Decal/Anonymous Content</t>
  </si>
  <si>
    <t>Cult Killer</t>
  </si>
  <si>
    <t>Crime, Thriller</t>
  </si>
  <si>
    <t>Jon Keeyes</t>
  </si>
  <si>
    <t>Saban Films</t>
  </si>
  <si>
    <t>Founders Day</t>
  </si>
  <si>
    <t>Dark Sky Films / Blue Finch Films / Mainframe Pictures</t>
  </si>
  <si>
    <t>Murder and Cocktails</t>
  </si>
  <si>
    <t>Henry Barrial</t>
  </si>
  <si>
    <t>905 Productions / Vision Films</t>
  </si>
  <si>
    <t>Beautiful Wedding</t>
  </si>
  <si>
    <t>Voltage Pictures/Wattpad Studios</t>
  </si>
  <si>
    <t>The Underdoggs</t>
  </si>
  <si>
    <t>Charles Stone</t>
  </si>
  <si>
    <t>Amazon MGM Studios/Metro-Goldwyn-Mayer/Khalabo Ink Society</t>
  </si>
  <si>
    <t>Sometimes I Think About Dying</t>
  </si>
  <si>
    <t>Rachel Lambert</t>
  </si>
  <si>
    <t>Oscilloscope Laboratories</t>
  </si>
  <si>
    <t>American Star</t>
  </si>
  <si>
    <t>Gonzalo López-Gallego</t>
  </si>
  <si>
    <t>IFC Films</t>
  </si>
  <si>
    <t>Hundreds of Beavers</t>
  </si>
  <si>
    <t>Mystery, Thriller</t>
  </si>
  <si>
    <t>Mike Cheslik</t>
  </si>
  <si>
    <t>SRH</t>
  </si>
  <si>
    <t>Argylle</t>
  </si>
  <si>
    <t>February</t>
  </si>
  <si>
    <t>Matthew Vaughn</t>
  </si>
  <si>
    <t>Universal Pictures/Apple Studios/Marv Studios</t>
  </si>
  <si>
    <t>Orion and the Dark</t>
  </si>
  <si>
    <t>Animation, Family, Adventure</t>
  </si>
  <si>
    <t>Sean Charmatz</t>
  </si>
  <si>
    <t>Netflix/DreamWorks Animation</t>
  </si>
  <si>
    <t>The Tiger's Apprentice</t>
  </si>
  <si>
    <t>Raman Hui, Paul Watling,Yong Duk Jhun</t>
  </si>
  <si>
    <t>Paramount+/Paramount Animation/New Republic Pictures</t>
  </si>
  <si>
    <t>A Nashville Wish</t>
  </si>
  <si>
    <t>Demetrius Navarro</t>
  </si>
  <si>
    <t>Vision Films / Brentwood Avenue Entertainment / D Street Films</t>
  </si>
  <si>
    <t>Lisa Frankenstein</t>
  </si>
  <si>
    <t>Zelda Williams</t>
  </si>
  <si>
    <t>Focus Features</t>
  </si>
  <si>
    <t>Upgraded</t>
  </si>
  <si>
    <t>Carlson Young</t>
  </si>
  <si>
    <t>Amazon MGM Studios</t>
  </si>
  <si>
    <t>Air Force One Down</t>
  </si>
  <si>
    <t>James Bamford</t>
  </si>
  <si>
    <t>Lola</t>
  </si>
  <si>
    <t>Nicola Peltz,Bria Vinaite</t>
  </si>
  <si>
    <t>Vertical Entertainment</t>
  </si>
  <si>
    <t>Bob Marley: One Love</t>
  </si>
  <si>
    <t>Paramount Pictures/Plan B Entertainment/Tuff Gong Pictures</t>
  </si>
  <si>
    <t>Madame Web</t>
  </si>
  <si>
    <t>Action, Sci-Fi, Superhero</t>
  </si>
  <si>
    <t>Columbia Pictures/Marvel Entertainment/Di Bonaventura Pictures</t>
  </si>
  <si>
    <t>Players</t>
  </si>
  <si>
    <t>Trish Sie</t>
  </si>
  <si>
    <t>Netflix</t>
  </si>
  <si>
    <t>What About Love</t>
  </si>
  <si>
    <t>XWS / Quality Films / Accident Films</t>
  </si>
  <si>
    <t>Adam the First</t>
  </si>
  <si>
    <t>Irving Franco</t>
  </si>
  <si>
    <t>Electric Entertainment</t>
  </si>
  <si>
    <t>Stranger in the Woods</t>
  </si>
  <si>
    <t>Comedy</t>
  </si>
  <si>
    <t>Adam Newacheck</t>
  </si>
  <si>
    <t>Red Hound Films / Wonk</t>
  </si>
  <si>
    <t>This Is Me... Now: A Love Story</t>
  </si>
  <si>
    <t>Dave Meyers</t>
  </si>
  <si>
    <t>Amazon MGM Studios/Nuyorican Productions</t>
  </si>
  <si>
    <t>Land of Bad</t>
  </si>
  <si>
    <t>The Avenue / Highland Film Group</t>
  </si>
  <si>
    <t>Bleeding Love</t>
  </si>
  <si>
    <t>Emma Westenberg</t>
  </si>
  <si>
    <t>Vertical Entertainment/Killer Films</t>
  </si>
  <si>
    <t>Lights Out</t>
  </si>
  <si>
    <t>Christian Sesma</t>
  </si>
  <si>
    <t>Quiver Distribution/ Firebrand</t>
  </si>
  <si>
    <t>No Way Up</t>
  </si>
  <si>
    <t>Claudio Fäh</t>
  </si>
  <si>
    <t>RLJE Films/Altitude Film Entertainment</t>
  </si>
  <si>
    <t>Altered Reality</t>
  </si>
  <si>
    <t>Don E. FauntLeRoy</t>
  </si>
  <si>
    <t>K Street Pictures</t>
  </si>
  <si>
    <t>Drive-Away Dolls</t>
  </si>
  <si>
    <t>Horror, Thriller</t>
  </si>
  <si>
    <t>Focus Features/Working Title Films</t>
  </si>
  <si>
    <t>Ordinary Angels</t>
  </si>
  <si>
    <t>Jon Gunn</t>
  </si>
  <si>
    <t>Lionsgate/Kingdom Story Company/Vertigo Entertainment/Stampede Ventures</t>
  </si>
  <si>
    <t>Drugstore June</t>
  </si>
  <si>
    <t>Shout! Studios/All Things Comedy/Utopia</t>
  </si>
  <si>
    <t>Parallel</t>
  </si>
  <si>
    <t>Kourosh Ahari</t>
  </si>
  <si>
    <t>Red Right Hand</t>
  </si>
  <si>
    <t>Ian Nelms, Eshom Nelms</t>
  </si>
  <si>
    <t>Redbox Entertainment/Magnolia Pictures</t>
  </si>
  <si>
    <t>The Neon Highway</t>
  </si>
  <si>
    <t>Sessions Production Payroll / Mountain Movies</t>
  </si>
  <si>
    <t>Dune: Part Two</t>
  </si>
  <si>
    <t>March</t>
  </si>
  <si>
    <t>Warner Bros. Pictures/Legendary Pictures</t>
  </si>
  <si>
    <t>Spaceman</t>
  </si>
  <si>
    <t>Johan Renck</t>
  </si>
  <si>
    <t>Netflix/Tango Entertainment/Free Association</t>
  </si>
  <si>
    <t>Megamind vs. the Doom Syndicate</t>
  </si>
  <si>
    <t>Eric Fogel</t>
  </si>
  <si>
    <t>Peacock/DreamWorks Animation Television</t>
  </si>
  <si>
    <t>Ricky Stanicky</t>
  </si>
  <si>
    <t>The Thundermans Return</t>
  </si>
  <si>
    <t>Trevor Kirschner</t>
  </si>
  <si>
    <t>Paramount+/Nickelodeon Movies/Awesomeness Films</t>
  </si>
  <si>
    <t>Kung Fu Panda 4</t>
  </si>
  <si>
    <t>Mike Mitchell</t>
  </si>
  <si>
    <t>Universal Pictures/DreamWorks Animation</t>
  </si>
  <si>
    <t>Imaginary</t>
  </si>
  <si>
    <t>Lionsgate/Blumhouse Productions</t>
  </si>
  <si>
    <t>Damsel</t>
  </si>
  <si>
    <t>Juan Carlos Fresnadillo</t>
  </si>
  <si>
    <t>Netflix/Roth/Kirschenbaum Films</t>
  </si>
  <si>
    <t>Love Lies Bleeding</t>
  </si>
  <si>
    <t>A24/Film4</t>
  </si>
  <si>
    <t>Cabrini</t>
  </si>
  <si>
    <t>Alejandro Monteverde</t>
  </si>
  <si>
    <t>Angel Studios</t>
  </si>
  <si>
    <t>Accidental Texan</t>
  </si>
  <si>
    <t>Mark Bristol</t>
  </si>
  <si>
    <t>Roadside Attractions</t>
  </si>
  <si>
    <t>American Dreamer</t>
  </si>
  <si>
    <t>Paul Dektor</t>
  </si>
  <si>
    <t>Glitter &amp; Doom</t>
  </si>
  <si>
    <t>Tom Gustafson</t>
  </si>
  <si>
    <t>Music Box Films</t>
  </si>
  <si>
    <t>The Primevals</t>
  </si>
  <si>
    <t>Full Moon Entertainment/Castel Film Romania</t>
  </si>
  <si>
    <t>Little Wing</t>
  </si>
  <si>
    <t>Dean Israelite</t>
  </si>
  <si>
    <t>Paramount+/Awesomeness Films</t>
  </si>
  <si>
    <t>Arthur the King</t>
  </si>
  <si>
    <t>Simon Cellan Jones</t>
  </si>
  <si>
    <t>Lionsgate/Entertainment One/Tucker Tooley Entertainment</t>
  </si>
  <si>
    <t>Irish Wish</t>
  </si>
  <si>
    <t>Janeen Damian</t>
  </si>
  <si>
    <t>Netflix/Motion Picture Corporation of America</t>
  </si>
  <si>
    <t>One Life</t>
  </si>
  <si>
    <t>James Hawes</t>
  </si>
  <si>
    <t>Bleecker Street/BBC Film/FilmNation Entertainment</t>
  </si>
  <si>
    <t>Knox Goes Away</t>
  </si>
  <si>
    <t>Michael Keaton</t>
  </si>
  <si>
    <t>Saban Films/FilmNation Entertainment/Brookstreet Pictures</t>
  </si>
  <si>
    <t>Bardejov</t>
  </si>
  <si>
    <t>Danny A. Abeckaser</t>
  </si>
  <si>
    <t>Road House</t>
  </si>
  <si>
    <t>Doug Liman</t>
  </si>
  <si>
    <t>Amazon Prime Video/Metro-Goldwyn-Mayer/Silver Pictures</t>
  </si>
  <si>
    <t>Ghostbusters: Frozen Empire</t>
  </si>
  <si>
    <t>Columbia Pictures/Ghost Corps</t>
  </si>
  <si>
    <t>Immaculate</t>
  </si>
  <si>
    <t>Michael Mohan</t>
  </si>
  <si>
    <t>Neon/Black Bear Pictures</t>
  </si>
  <si>
    <t>Sleeping Dogs</t>
  </si>
  <si>
    <t>The Avenue / Nickel City Productions / Highland Film Group</t>
  </si>
  <si>
    <t>The Casagrandes Movie</t>
  </si>
  <si>
    <t>Miguel Puga</t>
  </si>
  <si>
    <t>Netflix/Nickelodeon Animation Studio</t>
  </si>
  <si>
    <t>Easter Bloody Easter</t>
  </si>
  <si>
    <t>Diane Foster</t>
  </si>
  <si>
    <t>WallyBird Productions</t>
  </si>
  <si>
    <t>Godzilla x Kong: The New Empire</t>
  </si>
  <si>
    <t>Action, Adventure, Drama, Sci-Fi</t>
  </si>
  <si>
    <t>Adam Wingard</t>
  </si>
  <si>
    <t>Asphalt City</t>
  </si>
  <si>
    <t>Jean-Stéphane Sauvaire</t>
  </si>
  <si>
    <t>Roadside Attractions/Vertical Entertainment/FilmNation Entertainment</t>
  </si>
  <si>
    <t>The Listener</t>
  </si>
  <si>
    <t>Steve Buscemi</t>
  </si>
  <si>
    <t>Música</t>
  </si>
  <si>
    <t>April</t>
  </si>
  <si>
    <t>Amazon MGM Studios/Wonderland Sound and Vision</t>
  </si>
  <si>
    <t>The First Omen</t>
  </si>
  <si>
    <t>20th Century Studios</t>
  </si>
  <si>
    <t>Monkey Man</t>
  </si>
  <si>
    <t>Universal Pictures/Bron Studios/Thunder Road Films/Monkeypaw Productions</t>
  </si>
  <si>
    <t>Parachute</t>
  </si>
  <si>
    <t>A Bit of Light</t>
  </si>
  <si>
    <t>Stephen Moyer</t>
  </si>
  <si>
    <t>Quiver Distribution/ICM Partners</t>
  </si>
  <si>
    <t>The People's Joker</t>
  </si>
  <si>
    <t>Altered Innocence / Haunted Gay Ride Productions</t>
  </si>
  <si>
    <t>Rebel Moon – Part Two: The Scargiver</t>
  </si>
  <si>
    <t>Zack Snyder</t>
  </si>
  <si>
    <t>Netflix/The Stone Quarry</t>
  </si>
  <si>
    <t>Damaged</t>
  </si>
  <si>
    <t>Terry McDonough</t>
  </si>
  <si>
    <t>Lionsgate/Signature Entertainment</t>
  </si>
  <si>
    <t>The Absence of Eden</t>
  </si>
  <si>
    <t>Roadside Attractions/Vertical Entertainment/Ingenious Media</t>
  </si>
  <si>
    <t>Sasquatch Sunset</t>
  </si>
  <si>
    <t>Nathan Zellner</t>
  </si>
  <si>
    <t>Bleecker Street/Square Peg</t>
  </si>
  <si>
    <t>Woody Woodpecker Goes to Camp</t>
  </si>
  <si>
    <t>Jon Rosenbaum</t>
  </si>
  <si>
    <t>Netflix/Universal 1440 Entertainment</t>
  </si>
  <si>
    <t>The Long Game</t>
  </si>
  <si>
    <t>Julio Quintana</t>
  </si>
  <si>
    <t>Mucho Mas Releasing /Fifth Season</t>
  </si>
  <si>
    <t>Arcadian</t>
  </si>
  <si>
    <t>Ben Brewer</t>
  </si>
  <si>
    <t>RLJE Films/Saturn Films</t>
  </si>
  <si>
    <t>Don't Tell Mom the Babysitter's Dead</t>
  </si>
  <si>
    <t>Wade Allain-Marcus</t>
  </si>
  <si>
    <t>Iconic Events Releasing /BET+</t>
  </si>
  <si>
    <t>Abigail</t>
  </si>
  <si>
    <t>Matt Bettinelli-Olpin,Tyler Gillett</t>
  </si>
  <si>
    <t>Universal Pictures/Radio Silence Productions</t>
  </si>
  <si>
    <t>The Ministry of Ungentlemanly Warfare</t>
  </si>
  <si>
    <t>Lionsgate/Black Bear Pictures/Jerry Bruckheimer Films</t>
  </si>
  <si>
    <t>Blood for Dust</t>
  </si>
  <si>
    <t>Rod Blackhurst</t>
  </si>
  <si>
    <t>The Avenue</t>
  </si>
  <si>
    <t>Hard Miles</t>
  </si>
  <si>
    <t>Blue Fox Entertainment</t>
  </si>
  <si>
    <t>Hanky Panky</t>
  </si>
  <si>
    <t>Nick Roth,Lindsey Haun</t>
  </si>
  <si>
    <t>A Group of Ferrets / Happy Canyon Club</t>
  </si>
  <si>
    <t>Downtown Owl</t>
  </si>
  <si>
    <t>Hamish Linklater,Lily Rabe</t>
  </si>
  <si>
    <t>Stage 6 Films</t>
  </si>
  <si>
    <t>Challengers</t>
  </si>
  <si>
    <t>Luca Guadagnino</t>
  </si>
  <si>
    <t>Metro-Goldwyn-Mayer/Frenesy Film Company/Pascal Pictures</t>
  </si>
  <si>
    <t>Boy Kills World</t>
  </si>
  <si>
    <t>Mortiz Mohr</t>
  </si>
  <si>
    <t>Lionsgate/Roadside Attractions/Vertigo Entertainment</t>
  </si>
  <si>
    <t>Breathe</t>
  </si>
  <si>
    <t>Stefon Bristol</t>
  </si>
  <si>
    <t>Variance Films/Thunder Road Films</t>
  </si>
  <si>
    <t>Humane</t>
  </si>
  <si>
    <t>Caitlin Cronenberg</t>
  </si>
  <si>
    <t>IFC Films/Elevation Pictures/XYZ Films</t>
  </si>
  <si>
    <t>Cash Out</t>
  </si>
  <si>
    <t>Crime, Drama</t>
  </si>
  <si>
    <t>Ives</t>
  </si>
  <si>
    <t>Bloodline Killer</t>
  </si>
  <si>
    <t>Ante Novakovic</t>
  </si>
  <si>
    <t>The Idea of You</t>
  </si>
  <si>
    <t>May</t>
  </si>
  <si>
    <t>Turtles All the Way Down</t>
  </si>
  <si>
    <t>Hannah Marks</t>
  </si>
  <si>
    <t>Max/Warner Bros. Pictures/New Line Cinema/Temple Hill Entertainment</t>
  </si>
  <si>
    <t>The Fall Guy</t>
  </si>
  <si>
    <t>David Leitch</t>
  </si>
  <si>
    <t>Universal Pictures/87North Productions</t>
  </si>
  <si>
    <t>Unfrosted</t>
  </si>
  <si>
    <t>Netflix/Columbus 81 Productions</t>
  </si>
  <si>
    <t>Prom Dates</t>
  </si>
  <si>
    <t>Kim O. Nguyen</t>
  </si>
  <si>
    <t>Hulu/LD Entertainment/Hartbeat Productions</t>
  </si>
  <si>
    <t>Chief of Station</t>
  </si>
  <si>
    <t>Jesse V. Johnson</t>
  </si>
  <si>
    <t>Mother of the Bride</t>
  </si>
  <si>
    <t>Mark Waters</t>
  </si>
  <si>
    <t>Netflix/Living Films</t>
  </si>
  <si>
    <t>Kingdom of the Planet of the Apes</t>
  </si>
  <si>
    <t>Wes Ball</t>
  </si>
  <si>
    <t>Poolman</t>
  </si>
  <si>
    <t>Vertical Entertainment/AGC Studios</t>
  </si>
  <si>
    <t>Not Another Church Movie</t>
  </si>
  <si>
    <t>James Michael Cummings</t>
  </si>
  <si>
    <t>Briarcliff Entertainment</t>
  </si>
  <si>
    <t>The Image of You</t>
  </si>
  <si>
    <t>Jeff Fisher</t>
  </si>
  <si>
    <t>The Strangers: Chapter 1</t>
  </si>
  <si>
    <t>Lionsgate</t>
  </si>
  <si>
    <t>Back to Black</t>
  </si>
  <si>
    <t>Sam Taylor-Johnson</t>
  </si>
  <si>
    <t>Focus Features/StudioCanal/Monumental Pictures</t>
  </si>
  <si>
    <t>Thelma the Unicorn</t>
  </si>
  <si>
    <t>Jared Hess, Lynn Wang</t>
  </si>
  <si>
    <t>Netflix Animation/Scholastic Entertainment/ Netflix Studios</t>
  </si>
  <si>
    <t>Babes</t>
  </si>
  <si>
    <t>Pamela Adlon</t>
  </si>
  <si>
    <t>Neon/FilmNation Entertainment</t>
  </si>
  <si>
    <t>You Can't Run Forever</t>
  </si>
  <si>
    <t>Lionsgate/Voltage Pictures</t>
  </si>
  <si>
    <t>Darkness of Man</t>
  </si>
  <si>
    <t>Dead Wrong</t>
  </si>
  <si>
    <t>Mill Creek Entertainment</t>
  </si>
  <si>
    <t>Furiosa: A Mad Max Saga</t>
  </si>
  <si>
    <t>Warner Bros. Pictures/Kennedy Miller Mitchell</t>
  </si>
  <si>
    <t>The Garfield Movie</t>
  </si>
  <si>
    <t>Animation, Family, Comedy</t>
  </si>
  <si>
    <t>Mark Dindal</t>
  </si>
  <si>
    <t>Columbia Pictures/Alcon Entertainment/Prime Focus/One Cool Group/Wayfarer Studios/Stage 6 Films</t>
  </si>
  <si>
    <t>Atlas</t>
  </si>
  <si>
    <t>Brad Peyton</t>
  </si>
  <si>
    <t>Netflix/Nuyorican Productions/Berlanti-Schechter Films</t>
  </si>
  <si>
    <t>Hit Man</t>
  </si>
  <si>
    <t>Netflix/Aggregate Films/AGC Studios</t>
  </si>
  <si>
    <t>Sight</t>
  </si>
  <si>
    <t>The Keeper</t>
  </si>
  <si>
    <t>Angus Benfield</t>
  </si>
  <si>
    <t>Lama Entertainment</t>
  </si>
  <si>
    <t>The Legend of Catclaws Mountain</t>
  </si>
  <si>
    <t>Young Woman and the Sea</t>
  </si>
  <si>
    <t>Joachim Rønning</t>
  </si>
  <si>
    <t>Walt Disney Pictures/Jerry Bruckheimer Films</t>
  </si>
  <si>
    <t>Ezra</t>
  </si>
  <si>
    <t>Tony Goldwyn</t>
  </si>
  <si>
    <t>Bleecker Street/Wayfarer Studios</t>
  </si>
  <si>
    <t>The Great Lillian Hall</t>
  </si>
  <si>
    <t>Michael Cristofer</t>
  </si>
  <si>
    <t>HBO Films/Max</t>
  </si>
  <si>
    <t>Shadow Land</t>
  </si>
  <si>
    <t>Paramount Pictures</t>
  </si>
  <si>
    <t>Backspot</t>
  </si>
  <si>
    <t>D. W. Waterson</t>
  </si>
  <si>
    <t>XYZ Films</t>
  </si>
  <si>
    <t>Protocol-7</t>
  </si>
  <si>
    <t>Abramorama</t>
  </si>
  <si>
    <t>Deer Camp '86</t>
  </si>
  <si>
    <t>L. Van Dyke Siboutszen</t>
  </si>
  <si>
    <t>Panoramic Pictures</t>
  </si>
  <si>
    <t>Boneyard</t>
  </si>
  <si>
    <t>June</t>
  </si>
  <si>
    <t>Am I OK?</t>
  </si>
  <si>
    <t>Tig Notaro,Stephanie Allynne</t>
  </si>
  <si>
    <t>Max/Warner Bros. Pictures/Gloria Sanchez Productions</t>
  </si>
  <si>
    <t>Bad Boys: Ride or Die</t>
  </si>
  <si>
    <t>Adil and Bilall</t>
  </si>
  <si>
    <t>Columbia Pictures/Jerry Bruckheimer Films/Westbrook Studios</t>
  </si>
  <si>
    <t>Late Bloomers</t>
  </si>
  <si>
    <t>Lisa Steen</t>
  </si>
  <si>
    <t>Vertical</t>
  </si>
  <si>
    <t>Trim Season</t>
  </si>
  <si>
    <t>Ariel Vida</t>
  </si>
  <si>
    <t>Blue Harbor Entertainment</t>
  </si>
  <si>
    <t>Inside Out 2</t>
  </si>
  <si>
    <t>Kelsey Mann</t>
  </si>
  <si>
    <t>Walt Disney Pictures/Pixar Animation Studios</t>
  </si>
  <si>
    <t>PG</t>
  </si>
  <si>
    <t>Ultraman: Rising</t>
  </si>
  <si>
    <t>Netflix/Netflix Animation/Tsuburaya Productions</t>
  </si>
  <si>
    <t>The Present</t>
  </si>
  <si>
    <t>Christian Ditter</t>
  </si>
  <si>
    <t>Gravitas Ventures/AGC Studios</t>
  </si>
  <si>
    <t>Ghostlight</t>
  </si>
  <si>
    <t>Alex Thompson,Kelly O'Sullivan</t>
  </si>
  <si>
    <t>IFC Films/ Sapan Studio</t>
  </si>
  <si>
    <t>Ride</t>
  </si>
  <si>
    <t>Well Go USA Entertainment</t>
  </si>
  <si>
    <t>Kinds of Kindness</t>
  </si>
  <si>
    <t>Searchlight Pictures/Film4/Element Pictures</t>
  </si>
  <si>
    <t>Trigger Warning</t>
  </si>
  <si>
    <t>Mouly Surya</t>
  </si>
  <si>
    <t>Netflix/Thunder Road Films</t>
  </si>
  <si>
    <t>Blackwater Lane</t>
  </si>
  <si>
    <t>Jeff Celentano</t>
  </si>
  <si>
    <t>Arena Wars</t>
  </si>
  <si>
    <t>Brandon Slagle</t>
  </si>
  <si>
    <t>Paramount+</t>
  </si>
  <si>
    <t>Horizon: An American Saga – Chapter 1</t>
  </si>
  <si>
    <t>Warner Bros. Pictures/New Line Cinema</t>
  </si>
  <si>
    <t>A Family Affair</t>
  </si>
  <si>
    <t>Richard LaGravenese</t>
  </si>
  <si>
    <t>Reunion</t>
  </si>
  <si>
    <t>Chris Nelson</t>
  </si>
  <si>
    <t>Republic Pictures/Spyglass Media Group/Lionsgate</t>
  </si>
  <si>
    <t>Family Portrait</t>
  </si>
  <si>
    <t>Conjuring Productions / Insufficient Funds</t>
  </si>
  <si>
    <t>Despicable Me 4</t>
  </si>
  <si>
    <t>July</t>
  </si>
  <si>
    <t>Chris Renaud</t>
  </si>
  <si>
    <t>Universal Pictures/Illumination</t>
  </si>
  <si>
    <t>Beverly Hills Cop: Axel F</t>
  </si>
  <si>
    <t>Mark Molloy</t>
  </si>
  <si>
    <t>Netflix/Don Simpson/Jerry Bruckheimer Films</t>
  </si>
  <si>
    <t>The Secret Art of Human Flight</t>
  </si>
  <si>
    <t>H.P. Mendoza</t>
  </si>
  <si>
    <t>Level 33 Entertainment</t>
  </si>
  <si>
    <t>Sound of Hope: The Story of Possum Trot</t>
  </si>
  <si>
    <t>Angel Studios/DailyWire+</t>
  </si>
  <si>
    <t>Murder Company</t>
  </si>
  <si>
    <t>Shane Dax Taylor</t>
  </si>
  <si>
    <t>Maverick Entertainment Group/ Complex Corp</t>
  </si>
  <si>
    <t>The Real Bros of Simi Valley: High School Reunion</t>
  </si>
  <si>
    <t>Roku</t>
  </si>
  <si>
    <t>Dead Whisper</t>
  </si>
  <si>
    <t>Angels Fallen: Warriors of Peace</t>
  </si>
  <si>
    <t>Ali Zamani</t>
  </si>
  <si>
    <t>Uncork'd Entertainment</t>
  </si>
  <si>
    <t>Fly Me to the Moon</t>
  </si>
  <si>
    <t>Greg Berlanti</t>
  </si>
  <si>
    <t>Columbia Pictures/Apple Studios</t>
  </si>
  <si>
    <t>Sing Sing</t>
  </si>
  <si>
    <t>A24/Black Bear Pictures</t>
  </si>
  <si>
    <t>Touch</t>
  </si>
  <si>
    <t>Focus Features/RVK Studios</t>
  </si>
  <si>
    <t>The Inheritance</t>
  </si>
  <si>
    <t>Alejandro Brugués</t>
  </si>
  <si>
    <t>National Anthem</t>
  </si>
  <si>
    <t>Variance Films</t>
  </si>
  <si>
    <t>Because We're Family</t>
  </si>
  <si>
    <t>Christine Nyhart Kaplan</t>
  </si>
  <si>
    <t>Buffalo 8 Entertainment</t>
  </si>
  <si>
    <t>Lost on a Mountain in Maine</t>
  </si>
  <si>
    <t>Andrew Boodhoo Kightlinger</t>
  </si>
  <si>
    <t>Balboa Productions/ Mom &amp; Dad Production</t>
  </si>
  <si>
    <t>My Spy: The Eternal City</t>
  </si>
  <si>
    <t>Amazon MGM Studios/STXfilms/MWM Studios</t>
  </si>
  <si>
    <t>Twisters</t>
  </si>
  <si>
    <t>Lee Isaac Chung</t>
  </si>
  <si>
    <t>Universal Pictures/Warner Bros. Pictures/Amblin Entertainment</t>
  </si>
  <si>
    <t>Clear Cut</t>
  </si>
  <si>
    <t>Brian Skiba</t>
  </si>
  <si>
    <t>Widow Clicquot</t>
  </si>
  <si>
    <t>Thomas Napper</t>
  </si>
  <si>
    <t>Clawfoot</t>
  </si>
  <si>
    <t>Michael Day</t>
  </si>
  <si>
    <t>Spread</t>
  </si>
  <si>
    <t>Ellie Kanner</t>
  </si>
  <si>
    <t>Tubi</t>
  </si>
  <si>
    <t>The Good Half</t>
  </si>
  <si>
    <t>Robert Schwartzman</t>
  </si>
  <si>
    <t>Utopia</t>
  </si>
  <si>
    <t>Deadpool &amp; Wolverine</t>
  </si>
  <si>
    <t>Marvel Studios/Maximum Effort/21 Laps Entertainment</t>
  </si>
  <si>
    <t>The Fabulous Four</t>
  </si>
  <si>
    <t>Bleecker Street</t>
  </si>
  <si>
    <t>Mothers' Instinct</t>
  </si>
  <si>
    <t>Benoît Delhomme</t>
  </si>
  <si>
    <t>Neon/Freckle Films/Mosaic</t>
  </si>
  <si>
    <t>The Girl in the Pool</t>
  </si>
  <si>
    <t>Dakota Gorman</t>
  </si>
  <si>
    <t>Quiver Distribution</t>
  </si>
  <si>
    <t>Harold and the Purple Crayon</t>
  </si>
  <si>
    <t>August</t>
  </si>
  <si>
    <t>Carlos Saldanha</t>
  </si>
  <si>
    <t>Columbia Pictures/Davis Entertainment</t>
  </si>
  <si>
    <t>The Instigators</t>
  </si>
  <si>
    <t>Apple TV+/Artists Equity/Studio 8</t>
  </si>
  <si>
    <t>Saving Bikini Bottom: The Sandy Cheeks Movie</t>
  </si>
  <si>
    <t>Liza Johnson</t>
  </si>
  <si>
    <t>Netflix/Nickelodeon Movies/United Plankton Pictures</t>
  </si>
  <si>
    <t>Detained</t>
  </si>
  <si>
    <t>Peak Season</t>
  </si>
  <si>
    <t>Steven Kanter</t>
  </si>
  <si>
    <t>Entertainment Squad</t>
  </si>
  <si>
    <t>AMFAD All My Friends Are Dead</t>
  </si>
  <si>
    <t>Marcus Dunstan</t>
  </si>
  <si>
    <t>Cineverse</t>
  </si>
  <si>
    <t>Trust in Love</t>
  </si>
  <si>
    <t>Mick Davis</t>
  </si>
  <si>
    <t>It Ends with Us</t>
  </si>
  <si>
    <t>Justin Baldoni</t>
  </si>
  <si>
    <t>Columbia Pictures/Wayfarer Studios</t>
  </si>
  <si>
    <t>Borderlands</t>
  </si>
  <si>
    <t>Lionsgate/Summit Entertainment/2K/Gearbox Studios/Arad Productions</t>
  </si>
  <si>
    <t>Duchess</t>
  </si>
  <si>
    <t>Watchmen: Chapter I</t>
  </si>
  <si>
    <t>Brandon Vietti</t>
  </si>
  <si>
    <t>Warner Bros. Animation/DC Entertainment</t>
  </si>
  <si>
    <t>Jackpot!</t>
  </si>
  <si>
    <t>Paul Feig</t>
  </si>
  <si>
    <t>Amazon MGM Studios/Roth/Kirschenbaum Films</t>
  </si>
  <si>
    <t>Alien: Romulus</t>
  </si>
  <si>
    <t>20th Century Studios/Scott Free Productions/Brandywine Productions</t>
  </si>
  <si>
    <t>The Union</t>
  </si>
  <si>
    <t>Julian Farino</t>
  </si>
  <si>
    <t>Netflix/Municipal Pictures</t>
  </si>
  <si>
    <t>The Deliverance</t>
  </si>
  <si>
    <t>Lee Daniels</t>
  </si>
  <si>
    <t>Skincare</t>
  </si>
  <si>
    <t>Gunner</t>
  </si>
  <si>
    <t>Dimitri Logothetis</t>
  </si>
  <si>
    <t>Highland Film Group</t>
  </si>
  <si>
    <t>Crescent City</t>
  </si>
  <si>
    <t>R.J. Collins</t>
  </si>
  <si>
    <t>Ryan's World the Movie: Titan Universe Adventure</t>
  </si>
  <si>
    <t>Albie Hecht</t>
  </si>
  <si>
    <t>Falling Forward Films /PocketWatch</t>
  </si>
  <si>
    <t>Mountains</t>
  </si>
  <si>
    <t>The Clean Up Crew</t>
  </si>
  <si>
    <t>Stream</t>
  </si>
  <si>
    <t>Iconic Events Releasing/ Fuzz on the Lens Productions</t>
  </si>
  <si>
    <t>Blink Twice</t>
  </si>
  <si>
    <t>Metro-Goldwyn-Mayer/Free Association</t>
  </si>
  <si>
    <t>The Crow</t>
  </si>
  <si>
    <t>Rupert Sanders</t>
  </si>
  <si>
    <t>Lionsgate/Davis Films/30West/FilmNation Entertainment</t>
  </si>
  <si>
    <t>The Killer</t>
  </si>
  <si>
    <t>John Woo</t>
  </si>
  <si>
    <t>Peacock/Universal Pictures/Atlas Entertainment</t>
  </si>
  <si>
    <t>The Supremes at Earl's All-You-Can-Eat</t>
  </si>
  <si>
    <t>Hulu/Searchlight Pictures/Temple Hill Entertainment</t>
  </si>
  <si>
    <t>Greedy People</t>
  </si>
  <si>
    <t>Potsy Ponciroli</t>
  </si>
  <si>
    <t>Between the Temples</t>
  </si>
  <si>
    <t>Sony Pictures Classics/Ley Line Entertainment</t>
  </si>
  <si>
    <t>The Forge</t>
  </si>
  <si>
    <t>Affirm Films/Kendrick Brothers/Provident Films</t>
  </si>
  <si>
    <t>Place of Bones</t>
  </si>
  <si>
    <t>Audrey Cummings</t>
  </si>
  <si>
    <t>Highland Film Group / Gold Rush Entertainment / Latigo Films</t>
  </si>
  <si>
    <t>Lionsgate/Death Row Pictures</t>
  </si>
  <si>
    <t>Slingshot</t>
  </si>
  <si>
    <t>Mikael Håfström</t>
  </si>
  <si>
    <t>The Wasp</t>
  </si>
  <si>
    <t>Guillem Morales</t>
  </si>
  <si>
    <t>Shout! Studios</t>
  </si>
  <si>
    <t>Reagan</t>
  </si>
  <si>
    <t>Sean McNamara</t>
  </si>
  <si>
    <t>ShowBiz Direct / MJM Entertainment</t>
  </si>
  <si>
    <t>You Gotta Believe</t>
  </si>
  <si>
    <t>Tokyo Cowboy</t>
  </si>
  <si>
    <t>Marc Marriott</t>
  </si>
  <si>
    <t>Purdie Distribution</t>
  </si>
  <si>
    <t>Beetlejuice Beetlejuice</t>
  </si>
  <si>
    <t>September</t>
  </si>
  <si>
    <t>Tim Burton</t>
  </si>
  <si>
    <t>Warner Bros. Pictures/Plan B Entertainment/Tim Burton Productions/The Geffen Company</t>
  </si>
  <si>
    <t>A New York Story</t>
  </si>
  <si>
    <t>The Thicket</t>
  </si>
  <si>
    <t>Elliott Lester</t>
  </si>
  <si>
    <t>Samuel Goldwyn Films/Tubi Films</t>
  </si>
  <si>
    <t>I'll Be Right There</t>
  </si>
  <si>
    <t>Brendan Walsh</t>
  </si>
  <si>
    <t>Brainstorm Media</t>
  </si>
  <si>
    <t>The Killer's Game</t>
  </si>
  <si>
    <t>J. J. Perry</t>
  </si>
  <si>
    <t>Uglies</t>
  </si>
  <si>
    <t>McG</t>
  </si>
  <si>
    <t>Netflix/Davis Entertainment/Anonymous Content</t>
  </si>
  <si>
    <t>Winner</t>
  </si>
  <si>
    <t>Susanna Fogel</t>
  </si>
  <si>
    <t>Vertical/Big Beach</t>
  </si>
  <si>
    <t>Here After</t>
  </si>
  <si>
    <t>Robert Salerno</t>
  </si>
  <si>
    <t>Subservience</t>
  </si>
  <si>
    <t>S.K. Dale</t>
  </si>
  <si>
    <t>XYZ Films/Millennium Media</t>
  </si>
  <si>
    <t>Transformers One</t>
  </si>
  <si>
    <t>Josh Cooley</t>
  </si>
  <si>
    <t>Paramount Pictures/Hasbro Entertainment/New Republic Pictures/Di Bonaventura Pictures</t>
  </si>
  <si>
    <t>Never Let Go</t>
  </si>
  <si>
    <t>Alexandre Aja</t>
  </si>
  <si>
    <t>Lionsgate/Summit Entertainment/21 Laps Entertainment</t>
  </si>
  <si>
    <t>Bagman</t>
  </si>
  <si>
    <t>Colm McCarthy</t>
  </si>
  <si>
    <t>Lionsgate/Temple Hill Entertainment</t>
  </si>
  <si>
    <t>The Featherweight</t>
  </si>
  <si>
    <t>Robert Kolodny</t>
  </si>
  <si>
    <t>mTuckman Media /Appian Way Productions</t>
  </si>
  <si>
    <t>Kill 'Em All 2</t>
  </si>
  <si>
    <t>Valeri Milev</t>
  </si>
  <si>
    <t>Destination Films</t>
  </si>
  <si>
    <t>Paradox Effect</t>
  </si>
  <si>
    <t>Scott Weintrob</t>
  </si>
  <si>
    <t>Killer Heat</t>
  </si>
  <si>
    <t>Philippe Lacôte</t>
  </si>
  <si>
    <t>Amazon Prime Video</t>
  </si>
  <si>
    <t>Saturday Night</t>
  </si>
  <si>
    <t>Columbia Pictures</t>
  </si>
  <si>
    <t>Apartment 7A</t>
  </si>
  <si>
    <t>Paramount+/Paramount Pictures/Paramount Players/Platinum Dunes/Sunday Night Productions</t>
  </si>
  <si>
    <t>Rez Ball</t>
  </si>
  <si>
    <t>Netflix/SpringHill Company/Chernin Entertainment/Lake Ellyn Entertainment</t>
  </si>
  <si>
    <t>The Curse of the Necklace</t>
  </si>
  <si>
    <t>Juan Pablo Arias Munoz</t>
  </si>
  <si>
    <t>Warner Bros. Discovery Home Entertainment</t>
  </si>
  <si>
    <t>Azrael</t>
  </si>
  <si>
    <t>E. L. Katz</t>
  </si>
  <si>
    <t>IFC Films/Shudder/Republic Pictures</t>
  </si>
  <si>
    <t>She Taught Love</t>
  </si>
  <si>
    <t>Nate Edwards</t>
  </si>
  <si>
    <t>Hulu/Andscape</t>
  </si>
  <si>
    <t>Crackcoon</t>
  </si>
  <si>
    <t>October</t>
  </si>
  <si>
    <t>Hold Your Breath</t>
  </si>
  <si>
    <t>Karrie Crouse, Will Joines</t>
  </si>
  <si>
    <t>Hulu/Searchlight Pictures</t>
  </si>
  <si>
    <t>Joker: Folie à Deux</t>
  </si>
  <si>
    <t>Warner Bros. Pictures/DC Entertainment</t>
  </si>
  <si>
    <t>White Bird</t>
  </si>
  <si>
    <t>Marc Forster</t>
  </si>
  <si>
    <t>Lionsgate/Participant/Kingdom Story Company/Mandeville Films</t>
  </si>
  <si>
    <t>Monster Summer</t>
  </si>
  <si>
    <t>David Henrie</t>
  </si>
  <si>
    <t>Pastime Pictures</t>
  </si>
  <si>
    <t>The Problem with People</t>
  </si>
  <si>
    <t>Chris Cottam</t>
  </si>
  <si>
    <t>Hellboy: The Crooked Man</t>
  </si>
  <si>
    <t>Ketchup Entertainment/Millennium Media/Dark Horse Entertainment</t>
  </si>
  <si>
    <t>Brothers</t>
  </si>
  <si>
    <t>Max Barbakow</t>
  </si>
  <si>
    <t>Amazon MGM Studios/Legendary Entertainment</t>
  </si>
  <si>
    <t>Piece by Piece</t>
  </si>
  <si>
    <t>Focus Features/I Am Other/Tremolo Productions/The Lego Group</t>
  </si>
  <si>
    <t>The Apprentice</t>
  </si>
  <si>
    <t>Ali Abbasi</t>
  </si>
  <si>
    <t>Briarcliff Entertainment/Scythia Films/Tailored Films</t>
  </si>
  <si>
    <t>The Silent Hour</t>
  </si>
  <si>
    <t>Brad Anderson</t>
  </si>
  <si>
    <t>Republic Pictures/AGC Studios</t>
  </si>
  <si>
    <t>Bad Genius</t>
  </si>
  <si>
    <t>Seven Cemeteries</t>
  </si>
  <si>
    <t>John Gulager</t>
  </si>
  <si>
    <t>Woman of the Hour</t>
  </si>
  <si>
    <t>Anna Kendrick</t>
  </si>
  <si>
    <t>Netflix/AGC Studios/Vertigo Entertainment</t>
  </si>
  <si>
    <t>The Line</t>
  </si>
  <si>
    <t>To Fall in Love</t>
  </si>
  <si>
    <t>Michael Lewis Foster</t>
  </si>
  <si>
    <t>Canary Black</t>
  </si>
  <si>
    <t>Pierre Morel</t>
  </si>
  <si>
    <t>Conclave</t>
  </si>
  <si>
    <t>Edward Berger</t>
  </si>
  <si>
    <t>Focus Features/FilmNation Entertainment/Indian Paintbrush</t>
  </si>
  <si>
    <t>Don't Move</t>
  </si>
  <si>
    <t>Adam Schindler, Brian Netto</t>
  </si>
  <si>
    <t>Magpie</t>
  </si>
  <si>
    <t>Sam Yates</t>
  </si>
  <si>
    <t>1 Million Followers</t>
  </si>
  <si>
    <t>Harvey Lowry</t>
  </si>
  <si>
    <t>Hangdog</t>
  </si>
  <si>
    <t>Good Deed Entertainment</t>
  </si>
  <si>
    <t>Let's Start a Cult</t>
  </si>
  <si>
    <t>MPI Media Group</t>
  </si>
  <si>
    <t>Time Cut</t>
  </si>
  <si>
    <t>Here</t>
  </si>
  <si>
    <t>November</t>
  </si>
  <si>
    <t>TriStar Pictures/Miramax/ImageMovers</t>
  </si>
  <si>
    <t>Juror #2</t>
  </si>
  <si>
    <t>Clint Eastwood</t>
  </si>
  <si>
    <t>Warner Bros. Pictures/Gotham Group/Malpaso Productions</t>
  </si>
  <si>
    <t>Absolution</t>
  </si>
  <si>
    <t>Hans Petter Moland</t>
  </si>
  <si>
    <t>Samuel Goldwyn Films</t>
  </si>
  <si>
    <t>The Gutter</t>
  </si>
  <si>
    <t>Yassir Lester, Isaiah Lester</t>
  </si>
  <si>
    <t>Magnolia Pictures/Village Roadshow Pictures</t>
  </si>
  <si>
    <t>Meet Me Next Christmas</t>
  </si>
  <si>
    <t>Rusty Cundieff</t>
  </si>
  <si>
    <t>A Sudden Case of Christmas</t>
  </si>
  <si>
    <t>The Best Christmas Pageant Ever</t>
  </si>
  <si>
    <t>Dallas Jenkins</t>
  </si>
  <si>
    <t>Lionsgate/Kingdom Story Company</t>
  </si>
  <si>
    <t>The Piano Lesson</t>
  </si>
  <si>
    <t>Netflix/Escape Artists</t>
  </si>
  <si>
    <t>Elevation</t>
  </si>
  <si>
    <t>George Nolfi</t>
  </si>
  <si>
    <t>Vertical/Lyrical Media</t>
  </si>
  <si>
    <t>Christmas Eve in Miller's Point</t>
  </si>
  <si>
    <t>Love Bomb</t>
  </si>
  <si>
    <t>David Guglielmo</t>
  </si>
  <si>
    <t>Hot Frosty</t>
  </si>
  <si>
    <t>Jerry Ciccoritti</t>
  </si>
  <si>
    <t>Netflix/Muse Entertainment</t>
  </si>
  <si>
    <t>Red One</t>
  </si>
  <si>
    <t>Jake Kasdan</t>
  </si>
  <si>
    <t>Metro-Goldwyn-Mayer/Seven Bucks Productions</t>
  </si>
  <si>
    <t>Daruma</t>
  </si>
  <si>
    <t>Alexander Yellen</t>
  </si>
  <si>
    <t>Freestyle Digital Media</t>
  </si>
  <si>
    <t>The Merry Gentlemen</t>
  </si>
  <si>
    <t>Peter Sullivan</t>
  </si>
  <si>
    <t>Wicked</t>
  </si>
  <si>
    <t>Jon M. Chu</t>
  </si>
  <si>
    <t>Universal Pictures/Marc Platt Productions</t>
  </si>
  <si>
    <t>Gladiator II</t>
  </si>
  <si>
    <t>Ridley Scott</t>
  </si>
  <si>
    <t>Paramount Pictures/Scott Free Productions/Lucy Fisher/Douglas Wick Productions</t>
  </si>
  <si>
    <t>Spellbound</t>
  </si>
  <si>
    <t>Vicky Jenson</t>
  </si>
  <si>
    <t>Netflix/Skydance Animation</t>
  </si>
  <si>
    <t>Armor</t>
  </si>
  <si>
    <t>Justin Routt</t>
  </si>
  <si>
    <t>Out of My Mind</t>
  </si>
  <si>
    <t>Amber Sealey</t>
  </si>
  <si>
    <t>Disney+/Big Beach/Participant</t>
  </si>
  <si>
    <t>Dear Santa</t>
  </si>
  <si>
    <t>Bobby Farrelly</t>
  </si>
  <si>
    <t>Paramount+/Paramount Pictures/Conundrum Entertainment</t>
  </si>
  <si>
    <t>Watchmen: Chapter II</t>
  </si>
  <si>
    <t>Warner Bros. Animation/Paramount Pictures/DC Entertainment</t>
  </si>
  <si>
    <t>Hemet, or the Landlady Don't Drink Tea</t>
  </si>
  <si>
    <t>Tony Olmos</t>
  </si>
  <si>
    <t>BayView Entertainment/Charybdis Pictures/Rosewood Five</t>
  </si>
  <si>
    <t>A Great Divide</t>
  </si>
  <si>
    <t>Moana 2</t>
  </si>
  <si>
    <t>Walt Disney Pictures/Walt Disney Animation Studios</t>
  </si>
  <si>
    <t>Queer</t>
  </si>
  <si>
    <t>A24/Fremantle/The Apartment Pictures/Frenesy Film Company</t>
  </si>
  <si>
    <t>Maria</t>
  </si>
  <si>
    <t>Pablo Larraín</t>
  </si>
  <si>
    <t>Netflix/Fremantle/The Apartment Pictures/FilmNation Entertainment</t>
  </si>
  <si>
    <t>Our Little Secret</t>
  </si>
  <si>
    <t>Stephen Herek</t>
  </si>
  <si>
    <t>Sweethearts</t>
  </si>
  <si>
    <t>Max/Warner Bros. Pictures/New Line Cinema</t>
  </si>
  <si>
    <t>Nutcrackers</t>
  </si>
  <si>
    <t>David Gordon Green</t>
  </si>
  <si>
    <t>Hulu/Rough House Pictures</t>
  </si>
  <si>
    <t>Y2K</t>
  </si>
  <si>
    <t>December</t>
  </si>
  <si>
    <t>A24</t>
  </si>
  <si>
    <t>The Order</t>
  </si>
  <si>
    <t>Justin Kurzel</t>
  </si>
  <si>
    <t>Vertical/AGC Studios</t>
  </si>
  <si>
    <t>Werewolves</t>
  </si>
  <si>
    <t>Steven C. Miller</t>
  </si>
  <si>
    <t>The Return</t>
  </si>
  <si>
    <t>Bleecker Street/HanWay Films/Rai Cinema</t>
  </si>
  <si>
    <t>Mary</t>
  </si>
  <si>
    <t>D. J. Caruso</t>
  </si>
  <si>
    <t>Jenni</t>
  </si>
  <si>
    <t>Gigi Saul Guerrero</t>
  </si>
  <si>
    <t>Vix</t>
  </si>
  <si>
    <t>Kraven the Hunter</t>
  </si>
  <si>
    <t>J. C. Chandor</t>
  </si>
  <si>
    <t>Columbia Pictures/Marvel Entertainment/Arad Productions</t>
  </si>
  <si>
    <t>The Lord of the Rings: The War of the Rohirrim</t>
  </si>
  <si>
    <t>Kenji Kamiyama</t>
  </si>
  <si>
    <t>Warner Bros. Pictures/New Line Cinema/Warner Bros. Animation/WingNut Films/Sola Entertainment</t>
  </si>
  <si>
    <t>Carry-On</t>
  </si>
  <si>
    <t>Jaume Collet-Serra</t>
  </si>
  <si>
    <t>Netflix/DreamWorks Pictures</t>
  </si>
  <si>
    <t>The Day the Earth Blew Up: A Looney Tunes Movie</t>
  </si>
  <si>
    <t>Ketchup Entertainment/Warner Bros. Animation</t>
  </si>
  <si>
    <t>Paramount Pictures/Republic Pictures/Constantin Film</t>
  </si>
  <si>
    <t>Nickel Boys</t>
  </si>
  <si>
    <t>Orion Pictures/Plan B Entertainment/Louverture Films/Anonymous Content</t>
  </si>
  <si>
    <t>The Last Showgirl</t>
  </si>
  <si>
    <t>Gia Coppola</t>
  </si>
  <si>
    <t>Roadside Attractions/Utopia/Pinky Promise</t>
  </si>
  <si>
    <t>Dirty Angels</t>
  </si>
  <si>
    <t>Lionsgate/Millennium Media/Nu Boyana Film Studios</t>
  </si>
  <si>
    <t>Sonic the Hedgehog 3</t>
  </si>
  <si>
    <t>Jeff Fowler</t>
  </si>
  <si>
    <t>Paramount Pictures/Sega Sammy Group/Original Film/Marza Animation Planet/Blur Studio</t>
  </si>
  <si>
    <t>Mufasa: The Lion King</t>
  </si>
  <si>
    <t>Barry Jenkins</t>
  </si>
  <si>
    <t>Walt Disney Pictures</t>
  </si>
  <si>
    <t>The Brutalist</t>
  </si>
  <si>
    <t>A24/Brookstreet Pictures</t>
  </si>
  <si>
    <t>Homestead</t>
  </si>
  <si>
    <t>Ben Smallbone</t>
  </si>
  <si>
    <t>Better Man</t>
  </si>
  <si>
    <t>A Complete Unknown</t>
  </si>
  <si>
    <t>Searchlight Pictures/Veritas Entertainment/The Picture Company</t>
  </si>
  <si>
    <t>The Fire Inside</t>
  </si>
  <si>
    <t>Rachel Morrison</t>
  </si>
  <si>
    <t>Metro-Goldwyn-Mayer</t>
  </si>
  <si>
    <t>The Damned</t>
  </si>
  <si>
    <t>Thordur Palsson</t>
  </si>
  <si>
    <t>Vertical/Ley Line Entertainment</t>
  </si>
  <si>
    <t>Man with No Past</t>
  </si>
  <si>
    <t>One of Them Days</t>
  </si>
  <si>
    <t>Lawrence Lamont</t>
  </si>
  <si>
    <t>TriStar Pictures/Hoorae Media</t>
  </si>
  <si>
    <t>Wolf Man</t>
  </si>
  <si>
    <t>Universal Pictures/Blumhouse Productions</t>
  </si>
  <si>
    <t>Back in Action</t>
  </si>
  <si>
    <t>Netflix/Chernin Entertainment</t>
  </si>
  <si>
    <t>Alarum</t>
  </si>
  <si>
    <t>Michael Polish</t>
  </si>
  <si>
    <t>Henry Danger: The Movie</t>
  </si>
  <si>
    <t>Joe Menendez</t>
  </si>
  <si>
    <t>Paramount+/Nickelodeon Productions/Awesomeness Films</t>
  </si>
  <si>
    <t>Wish You Were Here</t>
  </si>
  <si>
    <t>Werewolf Game</t>
  </si>
  <si>
    <t>Jackie Payne, Cara Brennan</t>
  </si>
  <si>
    <t>Different Duck Films</t>
  </si>
  <si>
    <t>Marked Men: Rule + Shaw</t>
  </si>
  <si>
    <t>Nick Cassavetes</t>
  </si>
  <si>
    <t>Voltage Pictures</t>
  </si>
  <si>
    <t>Flight Risk</t>
  </si>
  <si>
    <t>Mel Gibson</t>
  </si>
  <si>
    <t>Lionsgate/Davis Entertainment/Icon Productions</t>
  </si>
  <si>
    <t>Presence</t>
  </si>
  <si>
    <t>Steven Soderbergh</t>
  </si>
  <si>
    <t>Neon/Sugar23</t>
  </si>
  <si>
    <t>Star Trek: Section 31</t>
  </si>
  <si>
    <t>Olatunde Osunsanmi</t>
  </si>
  <si>
    <t>Paramount+/Secret Hideout/Roddenberry Entertainment/CBS Studios</t>
  </si>
  <si>
    <t>Inheritance</t>
  </si>
  <si>
    <t>IFC Films/Miramax</t>
  </si>
  <si>
    <t>Brave the Dark</t>
  </si>
  <si>
    <t>Into the Deep</t>
  </si>
  <si>
    <t>Saban Capital Group</t>
  </si>
  <si>
    <t>Bau: Artist at War</t>
  </si>
  <si>
    <t>Showbiz Direct /Republic Pictures</t>
  </si>
  <si>
    <t>Valiant One</t>
  </si>
  <si>
    <t>Briarcliff Entertainment/Brightlight Pictures</t>
  </si>
  <si>
    <t>Green and Gold</t>
  </si>
  <si>
    <t>Fathom Events</t>
  </si>
  <si>
    <t>Good Bad Things</t>
  </si>
  <si>
    <t>Kinda Pregnant</t>
  </si>
  <si>
    <t>Tyler Spindel</t>
  </si>
  <si>
    <t>Netflix/Happy Madison Productions</t>
  </si>
  <si>
    <t>Heart Eyes</t>
  </si>
  <si>
    <t>Josh Ruben</t>
  </si>
  <si>
    <t>Screen Gems/Spyglass Media Group/Divide/Conquer</t>
  </si>
  <si>
    <t>Love Hurts</t>
  </si>
  <si>
    <t>Jonathan Eusebio</t>
  </si>
  <si>
    <t>Jazzy</t>
  </si>
  <si>
    <t>Vertical/Duplass Brothers Productions</t>
  </si>
  <si>
    <t>Renner</t>
  </si>
  <si>
    <t>Robert Rippberger</t>
  </si>
  <si>
    <t>Seismic Releasing / Slated</t>
  </si>
  <si>
    <t>When I'm Ready</t>
  </si>
  <si>
    <t>Andrew Johnson</t>
  </si>
  <si>
    <t>Quiver Distribution/Briarcliff Entertainment</t>
  </si>
  <si>
    <t>The Witcher: Sirens of the Deep</t>
  </si>
  <si>
    <t>Kang Hei Chul</t>
  </si>
  <si>
    <t>Netflix/Studio Mir/Platige Image</t>
  </si>
  <si>
    <t>Bridget Jones: Mad About the Boy</t>
  </si>
  <si>
    <t>Michael Morris</t>
  </si>
  <si>
    <t>Peacock/Universal Pictures/StudioCanal/Miramax/Working Title Films</t>
  </si>
  <si>
    <t>La Dolce Villa</t>
  </si>
  <si>
    <t>Captain America: Brave New World</t>
  </si>
  <si>
    <t>Marvel Studios</t>
  </si>
  <si>
    <t>The Gorge</t>
  </si>
  <si>
    <t>Scott Derrickson</t>
  </si>
  <si>
    <t>Apple TV+/Apple Studios/Skydance Media</t>
  </si>
  <si>
    <t>The Dead Thing</t>
  </si>
  <si>
    <t>Shudder</t>
  </si>
  <si>
    <t>You, Me &amp; Her</t>
  </si>
  <si>
    <t>Dan Levy Dagerman</t>
  </si>
  <si>
    <t>Attend / Two Hands Productions</t>
  </si>
  <si>
    <t>Old Guy</t>
  </si>
  <si>
    <t>Simon West</t>
  </si>
  <si>
    <t>The Avenue /Dark Castle Entertainment</t>
  </si>
  <si>
    <t>Lifeline</t>
  </si>
  <si>
    <t>Feras Alfuqaha</t>
  </si>
  <si>
    <t>Dark Sky Films</t>
  </si>
  <si>
    <t>Last Breath</t>
  </si>
  <si>
    <t>Focus Features/Dark Castle Entertainment/FilmNation Entertainment</t>
  </si>
  <si>
    <t>Riff Raff</t>
  </si>
  <si>
    <t>Dito Montiel</t>
  </si>
  <si>
    <t>Roadside Attractions/Grindstone Entertainment Group/Signature Films</t>
  </si>
  <si>
    <t>My Dead Friend Zoe</t>
  </si>
  <si>
    <t>Briarcliff Entertainment/Legion M</t>
  </si>
  <si>
    <t>Cold Wallet</t>
  </si>
  <si>
    <t>Cutter Hodierne</t>
  </si>
  <si>
    <t>No Address</t>
  </si>
  <si>
    <t>Robert Craig Films</t>
  </si>
  <si>
    <t>The Accidental Getaway Driver</t>
  </si>
  <si>
    <t>Utopia/Thunder Road Films</t>
  </si>
  <si>
    <t>The Electric State</t>
  </si>
  <si>
    <t>Anthony Russo, Joe Russo</t>
  </si>
  <si>
    <t>Netflix/AGBO/Skybound Entertainment</t>
  </si>
  <si>
    <t>In the Lost Lands</t>
  </si>
  <si>
    <t>Vertical/Constantin Film/FilmNation Entertainment</t>
  </si>
  <si>
    <t>Plankton: The Movie</t>
  </si>
  <si>
    <t>Dave Needham</t>
  </si>
  <si>
    <t>Netflix/Nickelodeon Movies</t>
  </si>
  <si>
    <t>F*** Marry Kill</t>
  </si>
  <si>
    <t>Laura Murphy</t>
  </si>
  <si>
    <t>Lionsgate Premiere/BuzzFeed Studios</t>
  </si>
  <si>
    <t>Eephus</t>
  </si>
  <si>
    <t>Rule Breakers</t>
  </si>
  <si>
    <t>The Parenting</t>
  </si>
  <si>
    <t>Craig Johnson</t>
  </si>
  <si>
    <t>Black Bag</t>
  </si>
  <si>
    <t>Novocaine</t>
  </si>
  <si>
    <t>Dan Berk, Robert Olsen</t>
  </si>
  <si>
    <t>Paramount Pictures/Infrared Pictures</t>
  </si>
  <si>
    <t>The Actor</t>
  </si>
  <si>
    <t>Neon</t>
  </si>
  <si>
    <t>High Rollers</t>
  </si>
  <si>
    <t>The Last Supper</t>
  </si>
  <si>
    <t>Pinnacle Peak Pictures/Canyon Productions</t>
  </si>
  <si>
    <t>Batman Ninja vs. Yakuza League</t>
  </si>
  <si>
    <t>Junpei Mizusaki, Shinji Takagi</t>
  </si>
  <si>
    <t>Warner Bros. Home Entertainment/DC Entertainment/Warner Bros. Animation</t>
  </si>
  <si>
    <t>Snow White</t>
  </si>
  <si>
    <t>Marc Webb</t>
  </si>
  <si>
    <t>Walt Disney Pictures/Marc Platt Productions</t>
  </si>
  <si>
    <t>The Alto Knights</t>
  </si>
  <si>
    <t>Barry Levinson</t>
  </si>
  <si>
    <t>Warner Bros. Pictures/Winkler Films</t>
  </si>
  <si>
    <t>Ash</t>
  </si>
  <si>
    <t>Flying Lotus</t>
  </si>
  <si>
    <t>RLJE Films/Shudder/XYZ Films/IPR.VC</t>
  </si>
  <si>
    <t>The Assessment</t>
  </si>
  <si>
    <t>Fleur Fortuné</t>
  </si>
  <si>
    <t>Magnolia Pictures/Number 9 Films</t>
  </si>
  <si>
    <t>Locked</t>
  </si>
  <si>
    <t>David Yarovesky</t>
  </si>
  <si>
    <t>The Avenue / ZQ Entertainment / Raimi Productions /Arcana Studio</t>
  </si>
  <si>
    <t>McVeigh</t>
  </si>
  <si>
    <t>Decal</t>
  </si>
  <si>
    <t>Popeye the Slayer Man</t>
  </si>
  <si>
    <t>Robert Michael Ryan</t>
  </si>
  <si>
    <t>Vantage Media</t>
  </si>
  <si>
    <t>Holland</t>
  </si>
  <si>
    <t>Mimi Cave</t>
  </si>
  <si>
    <t>Amazon MGM Studios/Blossom Films</t>
  </si>
  <si>
    <t>A Working Man</t>
  </si>
  <si>
    <t>Metro-Goldwyn-Mayer/Black Bear Pictures/Balboa Productions/Cedar Park Entertainment/Punch Palace Productions</t>
  </si>
  <si>
    <t>The Woman in the Yard</t>
  </si>
  <si>
    <t>Alexander and the Terrible, Horrible, No Good, Very Bad Road Trip</t>
  </si>
  <si>
    <t>Marvin Lemus</t>
  </si>
  <si>
    <t>Disney+/Walt Disney Pictures/21 Laps Entertainment/The Jim Henson Company</t>
  </si>
  <si>
    <t>Day of Reckoning</t>
  </si>
  <si>
    <t>Shaun Silva</t>
  </si>
  <si>
    <t>ESX Films</t>
  </si>
  <si>
    <t>Sew Torn</t>
  </si>
  <si>
    <t>Vertigo Releasing</t>
  </si>
  <si>
    <t>Screamboat</t>
  </si>
  <si>
    <t>Iconic Events Releasing</t>
  </si>
  <si>
    <t>A Minecraft Movie</t>
  </si>
  <si>
    <t>Jared Hess</t>
  </si>
  <si>
    <t>Warner Bros. Pictures/Legendary Entertainment/Mojang Studios/Vertigo Entertainment</t>
  </si>
  <si>
    <t>The Luckiest Man in America</t>
  </si>
  <si>
    <t>IFC Films/Sapan Studio</t>
  </si>
  <si>
    <t>Eric Larue</t>
  </si>
  <si>
    <t>Michael Shannon</t>
  </si>
  <si>
    <t>Magnolia Pictures</t>
  </si>
  <si>
    <t>A Nice Indian Boy</t>
  </si>
  <si>
    <t>Roshan Sethi</t>
  </si>
  <si>
    <t>Gazer</t>
  </si>
  <si>
    <t>Metrograph Pictures</t>
  </si>
  <si>
    <t>V13</t>
  </si>
  <si>
    <t>Deskpop Entertainment / Footnote Four / Vienna 1913 Productions</t>
  </si>
  <si>
    <t>G20</t>
  </si>
  <si>
    <t>Patricia Riggen</t>
  </si>
  <si>
    <t>Amazon MGM Studios/JuVee Productions/Mad Chance Productions/MRC</t>
  </si>
  <si>
    <t>The Amateur</t>
  </si>
  <si>
    <t>Drop</t>
  </si>
  <si>
    <t>Christopher Landon</t>
  </si>
  <si>
    <t>Universal Pictures/Blumhouse Productions/Platinum Dunes</t>
  </si>
  <si>
    <t>Sacramento</t>
  </si>
  <si>
    <t>Home Sweet Home Rebirth</t>
  </si>
  <si>
    <t>Alexander Kiesl, Steffen Hacker</t>
  </si>
  <si>
    <t>Vertical/Yggdrazil Group</t>
  </si>
  <si>
    <t>Sneaks</t>
  </si>
  <si>
    <t>Chris Jenkins</t>
  </si>
  <si>
    <t>Briarcliff Entertainment/Cinema Gypsy Productions/Assemblage Entertainment/GFM Animation</t>
  </si>
  <si>
    <t>The Wedding Banquet</t>
  </si>
  <si>
    <t>Romance, Comedy</t>
  </si>
  <si>
    <t>Bleecker Street/ShivHans Pictures</t>
  </si>
  <si>
    <t>The Accountant 2</t>
  </si>
  <si>
    <t>Gavin O'Connor</t>
  </si>
  <si>
    <t>Metro-Goldwyn-Mayer/Artists Equity</t>
  </si>
  <si>
    <t>Until Dawn</t>
  </si>
  <si>
    <t>David F. Sandberg</t>
  </si>
  <si>
    <t>Screen Gems/PlayStation Productions/Vertigo Entertainment</t>
  </si>
  <si>
    <t>On Swift Horses</t>
  </si>
  <si>
    <t>Daniel Minahan</t>
  </si>
  <si>
    <t>Winter Spring Summer or Fall</t>
  </si>
  <si>
    <t>Tiffany Paulsen</t>
  </si>
  <si>
    <t>Republic Pictures/Motion Picture Corporation of America</t>
  </si>
  <si>
    <t>Neighborhood Watch</t>
  </si>
  <si>
    <t>Duncan Skiles</t>
  </si>
  <si>
    <t>RLJE Films</t>
  </si>
  <si>
    <t>Another Simple Favor</t>
  </si>
  <si>
    <t>Amazon MGM Studios/Lionsgate/Feigco Entertainment</t>
  </si>
  <si>
    <t>Thunderbolts*</t>
  </si>
  <si>
    <t>Jake Schreier</t>
  </si>
  <si>
    <t>Words of War</t>
  </si>
  <si>
    <t>James Strong</t>
  </si>
  <si>
    <t>I'm Beginning to See the Light</t>
  </si>
  <si>
    <t>Rosario</t>
  </si>
  <si>
    <t>Felipe Vargas</t>
  </si>
  <si>
    <t>Electra</t>
  </si>
  <si>
    <t>The Death of Snow White</t>
  </si>
  <si>
    <t>Atlas Distribution / The Horror Collective</t>
  </si>
  <si>
    <t>Shadow Force</t>
  </si>
  <si>
    <t>Lionsgate/Simpson Street/Indian Meadows Productions</t>
  </si>
  <si>
    <t>Fight or Flight</t>
  </si>
  <si>
    <t>James Madigan</t>
  </si>
  <si>
    <t>Vertical/Asbury Park Productions</t>
  </si>
  <si>
    <t>Nonnas</t>
  </si>
  <si>
    <t>Stephen Chbosky</t>
  </si>
  <si>
    <t>Netflix/Fifth Season/Madison Wells/Matador Content</t>
  </si>
  <si>
    <t>Clown in a Cornfield</t>
  </si>
  <si>
    <t>Screamtime Films /Magnet Releasing</t>
  </si>
  <si>
    <t>Unit 234</t>
  </si>
  <si>
    <t>Andy Tennant</t>
  </si>
  <si>
    <t>Summer of 69</t>
  </si>
  <si>
    <t>Hulu/American High</t>
  </si>
  <si>
    <t>Lilly</t>
  </si>
  <si>
    <t>Blue Harbor Entertainment /Artemis Rising Foundation</t>
  </si>
  <si>
    <t>Final Destination Bloodlines</t>
  </si>
  <si>
    <t>Zach Lipovsky,Adam Stein</t>
  </si>
  <si>
    <t>Hurry Up Tomorrow</t>
  </si>
  <si>
    <t>Lionsgate/Live Nation Productions</t>
  </si>
  <si>
    <t>Lilo &amp; Stitch</t>
  </si>
  <si>
    <t>Dean Fleischer Camp</t>
  </si>
  <si>
    <t>Walt Disney Pictures/Rideback</t>
  </si>
  <si>
    <t>Mission: Impossible – The Final Reckoning</t>
  </si>
  <si>
    <t>Paramount Pictures/Skydance Media/TC Productions</t>
  </si>
  <si>
    <t>Fountain of Youth</t>
  </si>
  <si>
    <t>Guy Ritchie</t>
  </si>
  <si>
    <t>Apple TV+/Apple Studios/Skydance Media/Radio Silence Productions</t>
  </si>
  <si>
    <t>Fear Street: Prom Queen</t>
  </si>
  <si>
    <t>The Last Rodeo</t>
  </si>
  <si>
    <t>Bad Shabbos</t>
  </si>
  <si>
    <t>Menemsha Films / Carnegie Hill Entertainment</t>
  </si>
  <si>
    <t>Karate Kid: Legends</t>
  </si>
  <si>
    <t>Jonathan Entwistle</t>
  </si>
  <si>
    <t>The Phoenician Scheme</t>
  </si>
  <si>
    <t>Focus Features/Indian Paintbrush</t>
  </si>
  <si>
    <t>Ballerina</t>
  </si>
  <si>
    <t>Len Wiseman</t>
  </si>
  <si>
    <t>Lionsgate/Summit Entertainment/Thunder Road Films/87North Productions</t>
  </si>
  <si>
    <t>Predator: Killer of Killers</t>
  </si>
  <si>
    <t>Dan Trachtenberg</t>
  </si>
  <si>
    <t>Hulu/20th Century Studios/Davis Entertainment/Lawrence Gordon Productions</t>
  </si>
  <si>
    <t>Echo Valley</t>
  </si>
  <si>
    <t>Michael Pearce</t>
  </si>
  <si>
    <t>Apple TV+/Apple Studios/Scott Free Productions</t>
  </si>
  <si>
    <t>The Ritual</t>
  </si>
  <si>
    <t>Dangerous Animals</t>
  </si>
  <si>
    <t>Sean Byrne</t>
  </si>
  <si>
    <t>IFC Films/Shudder/LD Entertainment/Brouhaha Entertainment</t>
  </si>
  <si>
    <t>Diablo</t>
  </si>
  <si>
    <t>Ernesto Díaz Espinoza</t>
  </si>
  <si>
    <t>The Unholy Trinity</t>
  </si>
  <si>
    <t>Richard Gray</t>
  </si>
  <si>
    <t>Saban Films/Roadside Attractions</t>
  </si>
  <si>
    <t>Tatami</t>
  </si>
  <si>
    <t>Guy Nattiv,Zar Amir Ebrahimi</t>
  </si>
  <si>
    <t>XYZ Films/Maven Screen Media</t>
  </si>
  <si>
    <t>Elio</t>
  </si>
  <si>
    <t>Madeline Sharafian,Domee Shi,Adrian Molina</t>
  </si>
  <si>
    <t>28 Years Later</t>
  </si>
  <si>
    <t>Danny Boyle</t>
  </si>
  <si>
    <t>Columbia Pictures/DNA Films</t>
  </si>
  <si>
    <t>KPop Demon Hunters</t>
  </si>
  <si>
    <t>Netflix/Sony Pictures Animation</t>
  </si>
  <si>
    <t>Everything's Going to Be Great</t>
  </si>
  <si>
    <t>Jon S. Baird</t>
  </si>
  <si>
    <t>Lionsgate/Entertainment One</t>
  </si>
  <si>
    <t>Bride Hard</t>
  </si>
  <si>
    <t>Magenta Light Studios</t>
  </si>
  <si>
    <t>Eye for an Eye</t>
  </si>
  <si>
    <t>Colin Tilley</t>
  </si>
  <si>
    <t>Alma and the Wolf</t>
  </si>
  <si>
    <t>Michael Patrick Jann</t>
  </si>
  <si>
    <t>The Harvest</t>
  </si>
  <si>
    <t>Caylee So</t>
  </si>
  <si>
    <t>F1</t>
  </si>
  <si>
    <t>Joseph Kosinski</t>
  </si>
  <si>
    <t>Warner Bros. Pictures/Apple Studios/Jerry Bruckheimer Films/Plan B Entertainment</t>
  </si>
  <si>
    <t>Off the Grid</t>
  </si>
  <si>
    <t>Johnny Martin</t>
  </si>
  <si>
    <t>Ponyboi</t>
  </si>
  <si>
    <t>Esteban Arango</t>
  </si>
  <si>
    <t>Fox Entertainment Studios/Gathr</t>
  </si>
  <si>
    <t>Please Don't Feed the Children</t>
  </si>
  <si>
    <t>Destry Allyn Spielberg</t>
  </si>
  <si>
    <t>Jurassic World Rebirth</t>
  </si>
  <si>
    <t>Gareth Edwards</t>
  </si>
  <si>
    <t>Universal Pictures/Amblin Entertainment</t>
  </si>
  <si>
    <t>The Old Guard 2</t>
  </si>
  <si>
    <t>Victoria Mahoney</t>
  </si>
  <si>
    <t>Netflix/Skydance Media/Denver and Delilah Productions</t>
  </si>
  <si>
    <t>Heads of State</t>
  </si>
  <si>
    <t>Ilya Naishuller</t>
  </si>
  <si>
    <t>Amazon MGM Studios/The Safran Company</t>
  </si>
  <si>
    <t>Dora and the Search for Sol Dorado</t>
  </si>
  <si>
    <t>Alberto Belli</t>
  </si>
  <si>
    <t>Paramount+/Nickelodeon Movies</t>
  </si>
  <si>
    <t>Long Distance</t>
  </si>
  <si>
    <t>Will Speck, Josh Gordon</t>
  </si>
  <si>
    <t>Hulu/DreamWorks Pictures/Reliance Entertainment</t>
  </si>
  <si>
    <t>Pretty Thing</t>
  </si>
  <si>
    <t>Justin Kelly</t>
  </si>
  <si>
    <t>Zombies 4: Dawn of the Vampires</t>
  </si>
  <si>
    <t>Paul Hoen</t>
  </si>
  <si>
    <t>Disney+/Disney Channel</t>
  </si>
  <si>
    <t>I Know What You Did Last Summer</t>
  </si>
  <si>
    <t>Columbia Pictures/Screen Gems/Original Film</t>
  </si>
  <si>
    <t>Smurfs</t>
  </si>
  <si>
    <t>Chris Miller</t>
  </si>
  <si>
    <t>Paramount Animation</t>
  </si>
  <si>
    <t>Saint Clare</t>
  </si>
  <si>
    <t>Guns &amp; Moses</t>
  </si>
  <si>
    <t>Concourse Media</t>
  </si>
  <si>
    <t>Ick</t>
  </si>
  <si>
    <t>The Fantastic Four: First Steps</t>
  </si>
  <si>
    <t>Matt Shakman</t>
  </si>
  <si>
    <t>Happy Gilmore 2</t>
  </si>
  <si>
    <t>Kyle Newacheck</t>
  </si>
  <si>
    <t>The Home</t>
  </si>
  <si>
    <t>Lionsgate/Roadside Attractions/Miramax</t>
  </si>
  <si>
    <t>Osiris</t>
  </si>
  <si>
    <t>Vertical/XYZ Films</t>
  </si>
  <si>
    <t>War of the Worlds</t>
  </si>
  <si>
    <t>Rich Lee</t>
  </si>
  <si>
    <t>Amazon MGM Studios/Universal Pictures/Bazelevs Company</t>
  </si>
  <si>
    <t>The Bad Guys 2</t>
  </si>
  <si>
    <t>Pierre Perifel</t>
  </si>
  <si>
    <t>The Naked Gun</t>
  </si>
  <si>
    <t>Paramount Pictures/Fuzzy Door Productions</t>
  </si>
  <si>
    <t>She Rides Shotgun</t>
  </si>
  <si>
    <t>Nick Rowland</t>
  </si>
  <si>
    <t>Lionsgate/Fifth Season</t>
  </si>
  <si>
    <t>Queen of Bones</t>
  </si>
  <si>
    <t>Robert Budreau</t>
  </si>
  <si>
    <t>Vertical/Appian Way Productions</t>
  </si>
  <si>
    <t>My Oxford Year</t>
  </si>
  <si>
    <t>Iain Morris</t>
  </si>
  <si>
    <t>Netflix/Temple Hill Entertainment</t>
  </si>
  <si>
    <t>Trouble Man</t>
  </si>
  <si>
    <t>Michael Jai White</t>
  </si>
  <si>
    <t>Samuel Goldwyn Films/Swirl Films</t>
  </si>
  <si>
    <t>The Pickup</t>
  </si>
  <si>
    <t>Tim Story</t>
  </si>
  <si>
    <t>Amazon MGM Studios/Davis Entertainment</t>
  </si>
  <si>
    <t>Freakier Friday</t>
  </si>
  <si>
    <t>Nisha Ganatra</t>
  </si>
  <si>
    <t>Walt Disney Pictures/Gunn Films/Burr! Productions</t>
  </si>
  <si>
    <t>My Mother's Wedding</t>
  </si>
  <si>
    <t>Vertical/Indian Paintbrush</t>
  </si>
  <si>
    <t>The Occupant</t>
  </si>
  <si>
    <t>Fixed</t>
  </si>
  <si>
    <t>Red Sonja</t>
  </si>
  <si>
    <t>M. J. Bassett</t>
  </si>
  <si>
    <t>Samuel Goldwyn Films/Millennium Media/Cinelou Films</t>
  </si>
  <si>
    <t>Nobody 2</t>
  </si>
  <si>
    <t>Timo Tjahjanto</t>
  </si>
  <si>
    <t>Highest 2 Lowest</t>
  </si>
  <si>
    <t>Spike Lee</t>
  </si>
  <si>
    <t>Apple Studios/A24/Escape Artists/Mandalay Pictures/40 Acres and a Mule Filmworks</t>
  </si>
  <si>
    <t>Night Always Comes</t>
  </si>
  <si>
    <t>Benjamin Caron</t>
  </si>
  <si>
    <t>The Knife</t>
  </si>
  <si>
    <t>Relativity Media/Duplass Brothers Productions</t>
  </si>
  <si>
    <t>Under Fire</t>
  </si>
  <si>
    <t>Vertical/Voltage Pictures</t>
  </si>
  <si>
    <t>A Spartan Dream</t>
  </si>
  <si>
    <t>The Map That Leads to You</t>
  </si>
  <si>
    <t>Lasse Hallström</t>
  </si>
  <si>
    <t>Amazon MGM Studios/Temple Hill Entertainment</t>
  </si>
  <si>
    <t>Honey Don't!</t>
  </si>
  <si>
    <t>Eden</t>
  </si>
  <si>
    <t>Ron Howard</t>
  </si>
  <si>
    <t>Vertical/Imagine Entertainment/AGC Studios</t>
  </si>
  <si>
    <t>Relay</t>
  </si>
  <si>
    <t>David Mackenzie</t>
  </si>
  <si>
    <t>Bleecker Street/Black Bear Pictures/Thunder Road Films</t>
  </si>
  <si>
    <t>Splitsville</t>
  </si>
  <si>
    <t>Neon/Topic Studios</t>
  </si>
  <si>
    <t>Afterburn</t>
  </si>
  <si>
    <t>Saban Films/Original Film</t>
  </si>
  <si>
    <t>Trust</t>
  </si>
  <si>
    <t>Republic Pictures/Twisted Pictures</t>
  </si>
  <si>
    <t>The Workout</t>
  </si>
  <si>
    <t>Anchor Bay Entertainment</t>
  </si>
  <si>
    <t>The Thursday Murder Club</t>
  </si>
  <si>
    <t>Netflix/Amblin Entertainment</t>
  </si>
  <si>
    <t>Caught Stealing</t>
  </si>
  <si>
    <t>Darren Aronofsky</t>
  </si>
  <si>
    <t>Columbia Pictures/Protozoa Pictures</t>
  </si>
  <si>
    <t>The Roses</t>
  </si>
  <si>
    <t>Jay Roach</t>
  </si>
  <si>
    <t>Searchlight Pictures</t>
  </si>
  <si>
    <t>Love, Brooklyn</t>
  </si>
  <si>
    <t>Rachel Abigail Holder</t>
  </si>
  <si>
    <t>Greenwich Entertainment</t>
  </si>
  <si>
    <t>The Conjuring: Last Rites</t>
  </si>
  <si>
    <t>Michael Chaves</t>
  </si>
  <si>
    <t>Warner Bros. Pictures/New Line Cinema/Atomic Monster/The Safran Company</t>
  </si>
  <si>
    <t>The Threesome</t>
  </si>
  <si>
    <t>Chad Hartigan</t>
  </si>
  <si>
    <t>Preparation for the Next Life</t>
  </si>
  <si>
    <t>Bing Liu</t>
  </si>
  <si>
    <t>Orion Pictures/Plan B Entertainment</t>
  </si>
  <si>
    <t>The Cut</t>
  </si>
  <si>
    <t>Sean Ellis</t>
  </si>
  <si>
    <t>Bad Man</t>
  </si>
  <si>
    <t>Vertical/C'est Lovi Productions/SSS Entertainment</t>
  </si>
  <si>
    <t>The Baltimorons</t>
  </si>
  <si>
    <t>Independent Film Company/Duplass Brothers Productions</t>
  </si>
  <si>
    <t>Light of the World</t>
  </si>
  <si>
    <t>Tom Bancroft, John Schafer</t>
  </si>
  <si>
    <t>Salvation Poem Project / Epipheo / Lighthouse Studios</t>
  </si>
  <si>
    <t>Downton Abbey: The Grand Finale</t>
  </si>
  <si>
    <t>Simon Curtis</t>
  </si>
  <si>
    <t>Focus Features/Carnival Films</t>
  </si>
  <si>
    <t>The Long Walk</t>
  </si>
  <si>
    <t>Francis Lawrence</t>
  </si>
  <si>
    <t>Lionsgate/Vertigo Entertainment</t>
  </si>
  <si>
    <t>Spinal Tap II: The End Continues</t>
  </si>
  <si>
    <t>Bleecker Street/Castle Rock Entertainment</t>
  </si>
  <si>
    <t>The History of Sound</t>
  </si>
  <si>
    <t>Oliver Hermanus</t>
  </si>
  <si>
    <t>Mubi/Film4/Closer Media/Tango Entertainment</t>
  </si>
  <si>
    <t>Tin Soldier</t>
  </si>
  <si>
    <t>The Wrong Paris</t>
  </si>
  <si>
    <t>Looking Through Water</t>
  </si>
  <si>
    <t>Roberto Sneider</t>
  </si>
  <si>
    <t>Code 3</t>
  </si>
  <si>
    <t>Aura Entertainment /Wayfarer Studios</t>
  </si>
  <si>
    <t>Motherland</t>
  </si>
  <si>
    <t>Evan Matthews</t>
  </si>
  <si>
    <t>Traumatika</t>
  </si>
  <si>
    <t>The Man in My Basement</t>
  </si>
  <si>
    <t>Him</t>
  </si>
  <si>
    <t>Universal Pictures/Monkeypaw Productions</t>
  </si>
  <si>
    <t>A Big Bold Beautiful Journey</t>
  </si>
  <si>
    <t>Kogonada</t>
  </si>
  <si>
    <t>Columbia Pictures/30West</t>
  </si>
  <si>
    <t>The Lost Bus</t>
  </si>
  <si>
    <t>Apple TV+/Apple Studios/Blumhouse Productions</t>
  </si>
  <si>
    <t>The Senior</t>
  </si>
  <si>
    <t>Rod Lurie</t>
  </si>
  <si>
    <t>Angel/Wayfarer Studios</t>
  </si>
  <si>
    <t>Swiped</t>
  </si>
  <si>
    <t>Hulu/20th Century Studios</t>
  </si>
  <si>
    <t>Adulthood</t>
  </si>
  <si>
    <t>Alex Winter</t>
  </si>
  <si>
    <t>London Calling</t>
  </si>
  <si>
    <t>The Summer Book</t>
  </si>
  <si>
    <t>Charlie McDowell</t>
  </si>
  <si>
    <t>Prisoner of War</t>
  </si>
  <si>
    <t>Louis Mandylor</t>
  </si>
  <si>
    <t>Doin' It</t>
  </si>
  <si>
    <t>Aura Entertainment /Likely Story</t>
  </si>
  <si>
    <t>American Sweatshop</t>
  </si>
  <si>
    <t>Uta Briesewitz</t>
  </si>
  <si>
    <t>Stolen Girl</t>
  </si>
  <si>
    <t>James Kent</t>
  </si>
  <si>
    <t>Gabby's Dollhouse: The Movie</t>
  </si>
  <si>
    <t>Ryan Crego</t>
  </si>
  <si>
    <t>The Strangers – Chapter 2</t>
  </si>
  <si>
    <t>Eleanor the Great</t>
  </si>
  <si>
    <t>Scarlett Johansson</t>
  </si>
  <si>
    <t>Sony Pictures Classics/TriStar Pictures/Pinky Promise/Maven Screen Media</t>
  </si>
  <si>
    <t>All of You</t>
  </si>
  <si>
    <t>Apple TV+/Republic Pictures/MRC/Ryder Picture Company</t>
  </si>
  <si>
    <t>Dead of Winter</t>
  </si>
  <si>
    <t>Brian Kirk</t>
  </si>
  <si>
    <t>Vertical/Wild Bunch Germany/Zweites Deutsches Fernsehen</t>
  </si>
  <si>
    <t>All the Devils Are Here</t>
  </si>
  <si>
    <t>Barnaby Roper</t>
  </si>
  <si>
    <t>Republic Pictures/T-Street Productions</t>
  </si>
  <si>
    <t>Ruth &amp; Boaz</t>
  </si>
  <si>
    <t>Alanna Brown</t>
  </si>
  <si>
    <t>Netflix/Tyler Perry Studios</t>
  </si>
  <si>
    <t>Play Dirty</t>
  </si>
  <si>
    <t>Amazon MGM Studios/Team Downey</t>
  </si>
  <si>
    <t>Anemone</t>
  </si>
  <si>
    <t>Focus Features/Plan B Entertainment</t>
  </si>
  <si>
    <t>Shell</t>
  </si>
  <si>
    <t>Max Minghella</t>
  </si>
  <si>
    <t>Republic Pictures/Dark Castle Entertainment</t>
  </si>
  <si>
    <t>Bone Lake</t>
  </si>
  <si>
    <t>Mercedes Bryce Morgan</t>
  </si>
  <si>
    <t>Coyotes</t>
  </si>
  <si>
    <t>Colin Minihan</t>
  </si>
  <si>
    <t>Aura Entertainment / Gramercy Park Media</t>
  </si>
  <si>
    <t>Maintenance Required</t>
  </si>
  <si>
    <t>Tron: Ares</t>
  </si>
  <si>
    <t>Roofman</t>
  </si>
  <si>
    <t>Paramount Pictures/Miramax/FilmNation Entertainment</t>
  </si>
  <si>
    <t>After the Hunt</t>
  </si>
  <si>
    <t>Metro-Goldwyn-Mayer/Imagine Entertainment/Frenesy Film Company</t>
  </si>
  <si>
    <t>Soul on Fire</t>
  </si>
  <si>
    <t>Affirm Films/ Brookwell McNamara Entertainment</t>
  </si>
  <si>
    <t>A House of Dynamite</t>
  </si>
  <si>
    <t>Kathryn Bigelow</t>
  </si>
  <si>
    <t>The Woman in Cabin 10</t>
  </si>
  <si>
    <t>Netflix/Sister</t>
  </si>
  <si>
    <t>Black Phone 2</t>
  </si>
  <si>
    <t>The Twits</t>
  </si>
  <si>
    <t>Netflix/Netflix Animation/Jellyfish Pictures</t>
  </si>
  <si>
    <t>Truth &amp; Treason</t>
  </si>
  <si>
    <t>Angel</t>
  </si>
  <si>
    <t>Blue Moon</t>
  </si>
  <si>
    <t>Richard Linklater</t>
  </si>
  <si>
    <t>Sony Pictures Classics/Cinetic Media</t>
  </si>
  <si>
    <t>The Hand That Rocks the Cradle</t>
  </si>
  <si>
    <t>Michelle Garza Cervera</t>
  </si>
  <si>
    <t>Hulu/20th Century Studios/Radar Pictures</t>
  </si>
  <si>
    <t>Regretting You</t>
  </si>
  <si>
    <t>Josh Boone</t>
  </si>
  <si>
    <t>Paramount Pictures/Constantin Film</t>
  </si>
  <si>
    <t>Bugonia</t>
  </si>
  <si>
    <t>Yorgos Lanthimos</t>
  </si>
  <si>
    <t>Focus Features/CJ ENM/Fruit Tree/Element Pictures</t>
  </si>
  <si>
    <t>Last Days</t>
  </si>
  <si>
    <t>Justin Lin</t>
  </si>
  <si>
    <t>Vertical/Gotham Group/Brillstein Entertainment Partners</t>
  </si>
  <si>
    <t>Queens of the Dead</t>
  </si>
  <si>
    <t>Independent Film Company/Shudder</t>
  </si>
  <si>
    <t>In Our Blood</t>
  </si>
  <si>
    <t>Pedro Kos</t>
  </si>
  <si>
    <t>Utopia/Revelations Entertainment</t>
  </si>
  <si>
    <t>Anniversary</t>
  </si>
  <si>
    <t>Jan Komasa</t>
  </si>
  <si>
    <t>Lionsgate/Roadside Attractions/Fifth Season/Chockstone Pictures</t>
  </si>
  <si>
    <t>Self-Help</t>
  </si>
  <si>
    <t>Cineverse/Bloody Disgusting</t>
  </si>
  <si>
    <t>Nouvelle Vague</t>
  </si>
  <si>
    <t>Netflix/ ARP Productions</t>
  </si>
  <si>
    <t>The Wrecker</t>
  </si>
  <si>
    <t>Art Camacho</t>
  </si>
  <si>
    <t>Safe House</t>
  </si>
  <si>
    <t>Jamie Marshall</t>
  </si>
  <si>
    <t>Joy to the World</t>
  </si>
  <si>
    <t>Hulu/Disney+</t>
  </si>
  <si>
    <t>Icefall</t>
  </si>
  <si>
    <t>Stefan Ruzowitzky</t>
  </si>
  <si>
    <t>Aura Entertainment /Arclight Films</t>
  </si>
  <si>
    <t>The Christmas Ring</t>
  </si>
  <si>
    <t>Fathom Entertainment</t>
  </si>
  <si>
    <t>Predator: Badlands</t>
  </si>
  <si>
    <t>20th Century Studios/Davis Entertainment/Lawrence Gordon Productions</t>
  </si>
  <si>
    <t>Sarah's Oil</t>
  </si>
  <si>
    <t>Metro-Goldwyn-Mayer/Wonder Project/Kingdom Story Company</t>
  </si>
  <si>
    <t>Die My Love</t>
  </si>
  <si>
    <t>Mubi/Black Label Media/Excellent Cadaver/Sikelia Productions</t>
  </si>
  <si>
    <t>Christy</t>
  </si>
  <si>
    <t>Black Bear Pictures/Anonymous Content</t>
  </si>
  <si>
    <t>Train Dreams</t>
  </si>
  <si>
    <t>Netflix/Black Bear Pictures</t>
  </si>
  <si>
    <t>In Your Dreams</t>
  </si>
  <si>
    <t>Netflix/Netflix Animation</t>
  </si>
  <si>
    <t>Stone Cold Fox</t>
  </si>
  <si>
    <t>Exit Protocol</t>
  </si>
  <si>
    <t>All That We Love</t>
  </si>
  <si>
    <t>Long Shadows</t>
  </si>
  <si>
    <t>Unexpected Christmas</t>
  </si>
  <si>
    <t>Michael Vaughn Hernandez</t>
  </si>
  <si>
    <t>Eammon Films / 3 Diamonds Entertainment</t>
  </si>
  <si>
    <t>A Merry Little Ex-Mas</t>
  </si>
  <si>
    <t>Steve Carr</t>
  </si>
  <si>
    <t>Netflix/Hartbreak Films</t>
  </si>
  <si>
    <t>Playdate</t>
  </si>
  <si>
    <t>Luke Greenfield</t>
  </si>
  <si>
    <t>Now You See Me: Now You Don't</t>
  </si>
  <si>
    <t>Ruben Fleischer</t>
  </si>
  <si>
    <t>Lionsgate/Summit Entertainment/Secret Hideout</t>
  </si>
  <si>
    <t>The Running Man</t>
  </si>
  <si>
    <t>Paramount Pictures/Kinberg Genre</t>
  </si>
  <si>
    <t>Keeper</t>
  </si>
  <si>
    <t>Osgood Perkins</t>
  </si>
  <si>
    <t>Jay Kelly</t>
  </si>
  <si>
    <t>Netflix/Pascal Pictures/Heyday Films</t>
  </si>
  <si>
    <t>Trap House</t>
  </si>
  <si>
    <t>Michael Dowse</t>
  </si>
  <si>
    <t>Aura Entertainment /Scott Free Productions</t>
  </si>
  <si>
    <t>Arco</t>
  </si>
  <si>
    <t>Neon/MountainA</t>
  </si>
  <si>
    <t>A Very Jonas Christmas Movie</t>
  </si>
  <si>
    <t>Jessica Yu</t>
  </si>
  <si>
    <t>Disney+/Disney Branded Television/20th Television</t>
  </si>
  <si>
    <t>Left-Handed Girl</t>
  </si>
  <si>
    <t>Netflix/Le Pacte</t>
  </si>
  <si>
    <t>The Perfect Gamble</t>
  </si>
  <si>
    <t>Danny Abeckaser</t>
  </si>
  <si>
    <t>Bull Run</t>
  </si>
  <si>
    <t>Murder at the Embassy</t>
  </si>
  <si>
    <t>Stephen Shimek</t>
  </si>
  <si>
    <t>Muzzle: City of Wolves</t>
  </si>
  <si>
    <t>John Stalberg Jr.</t>
  </si>
  <si>
    <t>Bunny</t>
  </si>
  <si>
    <t>Wicked: For Good</t>
  </si>
  <si>
    <t>Rental Family</t>
  </si>
  <si>
    <t>The Family Plan 2</t>
  </si>
  <si>
    <t>Blue Eyed Girl</t>
  </si>
  <si>
    <t>J. Mills Goodloe</t>
  </si>
  <si>
    <t>Wildcat</t>
  </si>
  <si>
    <t>James Nunn</t>
  </si>
  <si>
    <t>Aura Entertainment /Signature Entertainment</t>
  </si>
  <si>
    <t>Blood Star</t>
  </si>
  <si>
    <t>Quiver Distribution/ Beast Production</t>
  </si>
  <si>
    <t>Zootopia 2</t>
  </si>
  <si>
    <t>Byron Howard</t>
  </si>
  <si>
    <t>Hamnet</t>
  </si>
  <si>
    <t>Focus Features/Amblin Entertainment/Neal Street Productions</t>
  </si>
  <si>
    <t>Eternity</t>
  </si>
  <si>
    <t>David Freyne</t>
  </si>
  <si>
    <t>A24/Apple Original Films</t>
  </si>
  <si>
    <t>Jingle Bell Heist</t>
  </si>
  <si>
    <t>Michael Fimognari</t>
  </si>
  <si>
    <t>Aftershock: The Nicole P Bell Story</t>
  </si>
  <si>
    <t>Faith Media Distribution / Manny Halley Productions /Roc Nation</t>
  </si>
  <si>
    <t>Stone Creek Killer</t>
  </si>
  <si>
    <t>Robert Enriquez</t>
  </si>
  <si>
    <t>Savage Hunt</t>
  </si>
  <si>
    <t>Roel Reiné</t>
  </si>
  <si>
    <t>Oh. What. Fun.</t>
  </si>
  <si>
    <t>Amazon MGM Studios/Tribeca Enterprises</t>
  </si>
  <si>
    <t>My Secret Santa</t>
  </si>
  <si>
    <t>Mike Rohl</t>
  </si>
  <si>
    <t>Five Nights at Freddy's 2</t>
  </si>
  <si>
    <t>Merrily We Roll Along</t>
  </si>
  <si>
    <t>Maria Friedman</t>
  </si>
  <si>
    <t>Sony Pictures Classics/Fathom Events/RadicalMedia</t>
  </si>
  <si>
    <t>Fackham Hall</t>
  </si>
  <si>
    <t>Jim O'Hanlon</t>
  </si>
  <si>
    <t>Diary of a Wimpy Kid: The Last Straw</t>
  </si>
  <si>
    <t>Matt Danner</t>
  </si>
  <si>
    <t>Disney+/Walt Disney Pictures/Bardel Entertainment</t>
  </si>
  <si>
    <t>Rosemead</t>
  </si>
  <si>
    <t>Eric Lin</t>
  </si>
  <si>
    <t>Vertical/LA Times Studios</t>
  </si>
  <si>
    <t>Frontier Crucible</t>
  </si>
  <si>
    <t>Travis Mills</t>
  </si>
  <si>
    <t>Well Go USA Entertainment/Bonfire Legend</t>
  </si>
  <si>
    <t>Hunting Season</t>
  </si>
  <si>
    <t>Raja Collins</t>
  </si>
  <si>
    <t>Merv</t>
  </si>
  <si>
    <t>Jessica Swale</t>
  </si>
  <si>
    <t>Amazon MGM Studios/Lightworkers Media</t>
  </si>
  <si>
    <t>The Mother, the Menacer, and Me</t>
  </si>
  <si>
    <t>Jon Salmon</t>
  </si>
  <si>
    <t>Persimmon / Ghost to the Post Productions</t>
  </si>
  <si>
    <t>Goodbye June</t>
  </si>
  <si>
    <t>Kate Winslet</t>
  </si>
  <si>
    <t>Turbulence</t>
  </si>
  <si>
    <t>Not Without Hope</t>
  </si>
  <si>
    <t>Inaugural Entertainment / Volition Media</t>
  </si>
  <si>
    <t>Saving Buddy Charles</t>
  </si>
  <si>
    <t>Grace Wethor</t>
  </si>
  <si>
    <t>Avatar: Fire and Ash</t>
  </si>
  <si>
    <t>20th Century Studios/Lightstorm Entertainment</t>
  </si>
  <si>
    <t>The SpongeBob Movie: Search for SquarePants</t>
  </si>
  <si>
    <t>Derek Drymon</t>
  </si>
  <si>
    <t>Paramount Animation/Nickelodeon Movies</t>
  </si>
  <si>
    <t>The Housemaid</t>
  </si>
  <si>
    <t>Is This Thing On?</t>
  </si>
  <si>
    <t>Anaconda</t>
  </si>
  <si>
    <t>Columbia Pictures/Fully Formed Entertainment</t>
  </si>
  <si>
    <t>Marty Supreme</t>
  </si>
  <si>
    <t>The Testament of Ann Lee</t>
  </si>
  <si>
    <t>Searchlight Pictures/Annapurna Pictures</t>
  </si>
  <si>
    <t>The Dutchman</t>
  </si>
  <si>
    <t>Rogue Pictures/Washington Square Films</t>
  </si>
  <si>
    <t>Primate</t>
  </si>
  <si>
    <t>Greenland 2: Migration</t>
  </si>
  <si>
    <t>Ric Roman Waugh</t>
  </si>
  <si>
    <t>Lionsgate/STXfilms/Thunder Road Films</t>
  </si>
  <si>
    <t>Dead Man's Wire</t>
  </si>
  <si>
    <t>Gus Van Sant</t>
  </si>
  <si>
    <t>Row K Entertainment</t>
  </si>
  <si>
    <t>People We Meet on Vacation</t>
  </si>
  <si>
    <t>Brett Haley</t>
  </si>
  <si>
    <t>Netflix/3000 Pictures/Temple Hill Entertainment</t>
  </si>
  <si>
    <t>Starbright</t>
  </si>
  <si>
    <t>Francesco Lucente</t>
  </si>
  <si>
    <t>Ruby Max Entertainment</t>
  </si>
  <si>
    <t>Oscar Shaw</t>
  </si>
  <si>
    <t>R. Ellis Frazier, Justin Nesbitt</t>
  </si>
  <si>
    <t>OBEX</t>
  </si>
  <si>
    <t>Oscilloscope/Cartuna/Ley Line Entertainment</t>
  </si>
  <si>
    <t>Death Name</t>
  </si>
  <si>
    <t>Réi</t>
  </si>
  <si>
    <t>Tubi/MarVista Entertainment</t>
  </si>
  <si>
    <t>The Internship</t>
  </si>
  <si>
    <t>Paramount Global Content Distribution</t>
  </si>
  <si>
    <t>28 Years Later: The Bone Temple</t>
  </si>
  <si>
    <t>Nia DaCosta</t>
  </si>
  <si>
    <t>Night Patrol</t>
  </si>
  <si>
    <t>Killer Whale</t>
  </si>
  <si>
    <t>Leave</t>
  </si>
  <si>
    <t>Falling Forward Films</t>
  </si>
  <si>
    <t>Mercy</t>
  </si>
  <si>
    <t>Timur Bekmambetov</t>
  </si>
  <si>
    <t>Metro-Goldwyn-Mayer/Atlas Entertainment/Bazelevs Company</t>
  </si>
  <si>
    <t>Return to Silent Hill</t>
  </si>
  <si>
    <t>Cineverse/Iconic Events Releasing/Davis Films</t>
  </si>
  <si>
    <t>H Is for Hawk</t>
  </si>
  <si>
    <t>Roadside Attractions/Film4/Plan B Entertainment</t>
  </si>
  <si>
    <t>Clika</t>
  </si>
  <si>
    <t>The Dreamer Cinderella</t>
  </si>
  <si>
    <t>Alfredo Widman</t>
  </si>
  <si>
    <t>Atlas Distribution Company / Dr. Ruiz Productions</t>
  </si>
  <si>
    <t>Untitled Home Invasion Romance</t>
  </si>
  <si>
    <t>Jason Biggs</t>
  </si>
  <si>
    <t>The Wrecking Crew</t>
  </si>
  <si>
    <t>Ángel Manuel Soto</t>
  </si>
  <si>
    <t>Amazon MGM Studios/6th &amp; Idaho Productions</t>
  </si>
  <si>
    <t>Send Help</t>
  </si>
  <si>
    <t>Sam Raimi</t>
  </si>
  <si>
    <t>Shelter</t>
  </si>
  <si>
    <t>Black Bear Pictures/Punch Palace Productions</t>
  </si>
  <si>
    <t>The Moment</t>
  </si>
  <si>
    <t>A24/2AM</t>
  </si>
  <si>
    <t>World Breaker</t>
  </si>
  <si>
    <t>Aura Entertainment</t>
  </si>
  <si>
    <t>Grizzly Night</t>
  </si>
  <si>
    <t>Burke Doeren</t>
  </si>
  <si>
    <t>Relationship Goals</t>
  </si>
  <si>
    <t>Linda Mendoza</t>
  </si>
  <si>
    <t>Amazon MGM Studios/Franklin Entertainment</t>
  </si>
  <si>
    <t>Still Hope</t>
  </si>
  <si>
    <t>Richie Johns</t>
  </si>
  <si>
    <t>The Strangers – Chapter 3</t>
  </si>
  <si>
    <t>Solo Mio</t>
  </si>
  <si>
    <t>Chuck Kinnane, Dan Kinnane</t>
  </si>
  <si>
    <t>Angel Studios/Kinnane Brothers</t>
  </si>
  <si>
    <t>Twisted</t>
  </si>
  <si>
    <t>Darren Lynn Bousman</t>
  </si>
  <si>
    <t>The Huntsman</t>
  </si>
  <si>
    <t>Epic Pictures Group</t>
  </si>
  <si>
    <t>F*ck Valentine's Day</t>
  </si>
  <si>
    <t>Mark Gantt</t>
  </si>
  <si>
    <t>Gravitas Ventures/Shout! Studios</t>
  </si>
  <si>
    <t>Misdirection</t>
  </si>
  <si>
    <t>Kevin Lewis</t>
  </si>
  <si>
    <t>Bad Voodoo</t>
  </si>
  <si>
    <t>Andrew Adler, Andre Hepburn</t>
  </si>
  <si>
    <t>Deskpop Entertainment</t>
  </si>
  <si>
    <t>Goat</t>
  </si>
  <si>
    <t>Tyree Dillihay</t>
  </si>
  <si>
    <t>Columbia Pictures/Sony Pictures Animation/Unanimous Media</t>
  </si>
  <si>
    <t>Good Luck, Have Fun, Don't Die</t>
  </si>
  <si>
    <t>Gore Verbinski</t>
  </si>
  <si>
    <t>Briarcliff Entertainment/3 Arts Entertainment/Blind Wink Productions/Constantin Film</t>
  </si>
  <si>
    <t>Cold Storage</t>
  </si>
  <si>
    <t>Jonny Campbell</t>
  </si>
  <si>
    <t>Samuel Goldwyn Films/StudioCanal</t>
  </si>
  <si>
    <t>The Mortuary Assistant</t>
  </si>
  <si>
    <t>Jeremiah Kipp</t>
  </si>
  <si>
    <t>Shudder/Epic Pictures Group</t>
  </si>
  <si>
    <t>Mimics</t>
  </si>
  <si>
    <t>Kristoffer Polaha</t>
  </si>
  <si>
    <t>Panoramic Pictures / Nook Lane Entertainment</t>
  </si>
  <si>
    <t>Hellfire</t>
  </si>
  <si>
    <t>Isaac Florentine</t>
  </si>
  <si>
    <t>Saban Films/Diamond Bear Brewing Company</t>
  </si>
  <si>
    <t>Kangaroo Kids</t>
  </si>
  <si>
    <t>Scatena &amp; Rosner Films / Sun Stream Productions</t>
  </si>
  <si>
    <t>I Can Only Imagine 2</t>
  </si>
  <si>
    <t>Andrew Erwin</t>
  </si>
  <si>
    <t>Lionsgate/Kingdom Story Company/LD Entertainment/Mission Pictures International</t>
  </si>
  <si>
    <t>Psycho Killer</t>
  </si>
  <si>
    <t>Gavin Polone</t>
  </si>
  <si>
    <t>20th Century Studios/Regency Enterprises/Constantin Film/Vertigo Entertainment</t>
  </si>
  <si>
    <t>Lazarus: The Awakening</t>
  </si>
  <si>
    <t>One Mile</t>
  </si>
  <si>
    <t>Adam Davidson</t>
  </si>
  <si>
    <t>Republic Pictures/Kapital Entertainment</t>
  </si>
  <si>
    <t>The Bluff</t>
  </si>
  <si>
    <t>Amazon MGM Studios/AGBO/Cinestar Pictures/Purple Pebble Pictures</t>
  </si>
  <si>
    <t>Scream 7</t>
  </si>
  <si>
    <t>Paramount Pictures/Spyglass Media Group</t>
  </si>
  <si>
    <t>In the Blink of an Eye</t>
  </si>
  <si>
    <t>Andrew Stanton</t>
  </si>
  <si>
    <t>Undercard</t>
  </si>
  <si>
    <t>Seismic Releasing / Catalyst Studios</t>
  </si>
  <si>
    <t>The Napa Boys</t>
  </si>
  <si>
    <t>K-Pops!</t>
  </si>
  <si>
    <t>Aura Entertainment / Stampede Ventures</t>
  </si>
  <si>
    <t>Matter of Time</t>
  </si>
  <si>
    <t>ArtAffects / Mediajuice Studios</t>
  </si>
  <si>
    <t>Noseeums</t>
  </si>
  <si>
    <t>The Hermit</t>
  </si>
  <si>
    <t>Salvatore Sclafani</t>
  </si>
  <si>
    <t>Hoppers</t>
  </si>
  <si>
    <t>Daniel Chong</t>
  </si>
  <si>
    <t>War Machine</t>
  </si>
  <si>
    <t>Netflix/Lionsgate</t>
  </si>
  <si>
    <t>Youngblood</t>
  </si>
  <si>
    <t>Hubert Davis</t>
  </si>
  <si>
    <t>Well Go USA Entertainment/Dolphin Entertainment</t>
  </si>
  <si>
    <t>Protector</t>
  </si>
  <si>
    <t>Adrian Grünberg</t>
  </si>
  <si>
    <t>Dolly</t>
  </si>
  <si>
    <t>Starstruck</t>
  </si>
  <si>
    <t>Michelle Danner</t>
  </si>
  <si>
    <t>All In Films</t>
  </si>
  <si>
    <t>Reminders of Him</t>
  </si>
  <si>
    <t>Vanessa Caswill</t>
  </si>
  <si>
    <t>Universal Pictures/Little Engine Productions</t>
  </si>
  <si>
    <t>Bodycam</t>
  </si>
  <si>
    <t>Preschool</t>
  </si>
  <si>
    <t>Josh Duhamel</t>
  </si>
  <si>
    <t>Recollection</t>
  </si>
  <si>
    <t>Perrsimmon / Paradox Studios</t>
  </si>
  <si>
    <t>Project Hail Mary</t>
  </si>
  <si>
    <t>Phil Lord, Christopher Miller</t>
  </si>
  <si>
    <t>Metro-Goldwyn-Mayer/Pascal Pictures/Lord Miller Productions/Open Invite Entertainment/Waypoint Entertainment</t>
  </si>
  <si>
    <t>Ready or Not 2: Here I Come</t>
  </si>
  <si>
    <t>Searchlight Pictures/Mythology Entertainment/Radio Silence Productions</t>
  </si>
  <si>
    <t>Do Not Enter</t>
  </si>
  <si>
    <t>Marc Klasfeld</t>
  </si>
  <si>
    <t>Lionsgate/Suretone Pictures</t>
  </si>
  <si>
    <t>The Pout-Pout Fish</t>
  </si>
  <si>
    <t>Ricard Cussó, Rio Harrington</t>
  </si>
  <si>
    <t>Viva Pictures</t>
  </si>
  <si>
    <t>Ricky</t>
  </si>
  <si>
    <t>Blue Harbor Entertainment / Ossetra Films / Bay Mills Studios</t>
  </si>
  <si>
    <t>Tow</t>
  </si>
  <si>
    <t>Stephanie Laing</t>
  </si>
  <si>
    <t>Vertical/Roadside Attractions</t>
  </si>
  <si>
    <t>Wardriver</t>
  </si>
  <si>
    <t>Rebecca Thomas</t>
  </si>
  <si>
    <t>The Avenue / Star Thrower Entertainment</t>
  </si>
  <si>
    <t>Monument</t>
  </si>
  <si>
    <t>Bryan Singer</t>
  </si>
  <si>
    <t>Bad Hat Harry</t>
  </si>
  <si>
    <t>The Cure</t>
  </si>
  <si>
    <t>Nancy Leopardi</t>
  </si>
  <si>
    <t>Crybaby Bridge</t>
  </si>
  <si>
    <t>Sarah T. Schwab</t>
  </si>
  <si>
    <t>X4 Pictures / Cardinal Flix / Without a Net Productions</t>
  </si>
  <si>
    <t>Pretty Lethal</t>
  </si>
  <si>
    <t>Vicky Jewson</t>
  </si>
  <si>
    <t>Amazon MGM Studios/87North Productions</t>
  </si>
  <si>
    <t>They Will Kill You</t>
  </si>
  <si>
    <t>Warner Bros. Pictures/New Line Cinema/Nocturna</t>
  </si>
  <si>
    <t>Forbidden Fruits</t>
  </si>
  <si>
    <t>Our Hero, Balthazar</t>
  </si>
  <si>
    <t>Picturehouse</t>
  </si>
  <si>
    <t>She Dances</t>
  </si>
  <si>
    <t>EKKL Entertainment /Wavelength</t>
  </si>
  <si>
    <t>You're Dating a Narcissist!</t>
  </si>
  <si>
    <t>Rockabye</t>
  </si>
  <si>
    <t>The Super Mario Galaxy Movie</t>
  </si>
  <si>
    <t>Aaron Horvath,Michael Jelenic</t>
  </si>
  <si>
    <t>Universal Pictures/Illumination/Nintendo</t>
  </si>
  <si>
    <t>A Great Awakening</t>
  </si>
  <si>
    <t>Roadside Attractions/Sight &amp; Sound Films</t>
  </si>
  <si>
    <t>A Love Like This</t>
  </si>
  <si>
    <t>John Asher</t>
  </si>
  <si>
    <t>Premarital</t>
  </si>
  <si>
    <t>Sniper: No Nation</t>
  </si>
  <si>
    <t>Trevor Calverly</t>
  </si>
  <si>
    <t>Sony Pictures Home Entertainment/Destination Films</t>
  </si>
  <si>
    <t>You, Me &amp; Tuscany</t>
  </si>
  <si>
    <t>Kat Coiro</t>
  </si>
  <si>
    <t>Universal Pictures/Will Packer Productions</t>
  </si>
  <si>
    <t>Faces of Death</t>
  </si>
  <si>
    <t>Independent Film Company/Shudder/Legendary Pictures/Divide/Conquer/Angry Films</t>
  </si>
  <si>
    <t>The Christophers</t>
  </si>
  <si>
    <t>Beast</t>
  </si>
  <si>
    <t>Tyler Atkins</t>
  </si>
  <si>
    <t>Lionsgate/ONE Championship</t>
  </si>
  <si>
    <t>Heads or Tails?</t>
  </si>
  <si>
    <t>Samuel Goldwyn Films/Rai Cinema</t>
  </si>
  <si>
    <t>PH-1</t>
  </si>
  <si>
    <t>Buffalo 8 / Like Minded Entertainment</t>
  </si>
  <si>
    <t>Tamerlane: Rise of the Last Conqueror</t>
  </si>
  <si>
    <t>Jacob Schwarz</t>
  </si>
  <si>
    <t>The Highest Stakes</t>
  </si>
  <si>
    <t>Tony Dean Smith</t>
  </si>
  <si>
    <t>Paramount Global Content Distribution/Republic Pictures</t>
  </si>
  <si>
    <t>Thinestra</t>
  </si>
  <si>
    <t>Nathan Hertz</t>
  </si>
  <si>
    <t>Breaking Glass Pictures / Dogplayer</t>
  </si>
  <si>
    <t>Balls Up</t>
  </si>
  <si>
    <t>Peter Farrelly</t>
  </si>
  <si>
    <t>Amazon MGM Studios/Skydance Media</t>
  </si>
  <si>
    <t>Roommates</t>
  </si>
  <si>
    <t>Chandler Levack</t>
  </si>
  <si>
    <t>Normal</t>
  </si>
  <si>
    <t>Ben Wheatley</t>
  </si>
  <si>
    <t>Erupcja</t>
  </si>
  <si>
    <t>1-2 Special/ Spartan Media Acquisitions</t>
  </si>
  <si>
    <t>Brothers Under Fire</t>
  </si>
  <si>
    <t>Justin Chadwick</t>
  </si>
  <si>
    <t>Mabel</t>
  </si>
  <si>
    <t>Tribeca Releasing / AgX / Wavelength</t>
  </si>
  <si>
    <t>Busboys</t>
  </si>
  <si>
    <t>Jonah Feingold</t>
  </si>
  <si>
    <t>Night</t>
  </si>
  <si>
    <t>The Whistler</t>
  </si>
  <si>
    <t>Diego Velasco</t>
  </si>
  <si>
    <t>Vertical/Hideout Pictures</t>
  </si>
  <si>
    <t>Weekend at the End of the World</t>
  </si>
  <si>
    <t>June Street Productions</t>
  </si>
  <si>
    <t>Captain Tsunami</t>
  </si>
  <si>
    <t>Aaron Sherry</t>
  </si>
  <si>
    <t>Persimmon</t>
  </si>
  <si>
    <t>Michael</t>
  </si>
  <si>
    <t>Antoine Fuqua</t>
  </si>
  <si>
    <t>Lionsgate/Universal Pictures/GK Films</t>
  </si>
  <si>
    <t>Apex</t>
  </si>
  <si>
    <t>Baltasar Kormákur</t>
  </si>
  <si>
    <t>Netflix/Chernin Entertainment/Denver and Delilah Productions/RVK Studios</t>
  </si>
  <si>
    <t>Over Your Dead Body</t>
  </si>
  <si>
    <t>Jorma Taccone</t>
  </si>
  <si>
    <t>Independent Film Company/87North Productions/XYZ Films</t>
  </si>
  <si>
    <t>Desert Warrior</t>
  </si>
  <si>
    <t>Vertical/MBC Studios/AGC Studios</t>
  </si>
  <si>
    <t>Omaha</t>
  </si>
  <si>
    <t>Cole Webley</t>
  </si>
  <si>
    <t>Original Sound</t>
  </si>
  <si>
    <t>Gregory Jbara</t>
  </si>
  <si>
    <t>Cromono International</t>
  </si>
  <si>
    <t>Broken Bird</t>
  </si>
  <si>
    <t>Catalyst Studios</t>
  </si>
  <si>
    <t>Saturnalia</t>
  </si>
  <si>
    <t>Terror Films / Gearhead Camera</t>
  </si>
  <si>
    <t>Frankie, Maniac Woman</t>
  </si>
  <si>
    <t>Two Witches Films / The Rancon Company</t>
  </si>
  <si>
    <t>His Monster</t>
  </si>
  <si>
    <t>Compassionate Disaster Films</t>
  </si>
  <si>
    <t>The Devil Wears Prada 2</t>
  </si>
  <si>
    <t>David Frankel</t>
  </si>
  <si>
    <t>20th Century Studios/Wendy Finerman Productions</t>
  </si>
  <si>
    <t>Animal Farm</t>
  </si>
  <si>
    <t>Andy Serkis</t>
  </si>
  <si>
    <t>Angel Studios/The Imaginarium Studios/Aniventure/Cinesite</t>
  </si>
  <si>
    <t>Swapped</t>
  </si>
  <si>
    <t>Nathan Greno</t>
  </si>
  <si>
    <t>Deep Water</t>
  </si>
  <si>
    <t>Magenta Light Studios/Arclight Films/Simmons/Hamilton Productions</t>
  </si>
  <si>
    <t>Casa Grande</t>
  </si>
  <si>
    <t>ESX Entertainment</t>
  </si>
  <si>
    <t>The Fuzzies</t>
  </si>
  <si>
    <t>Terror Films</t>
  </si>
  <si>
    <t>Mortal Kombat II</t>
  </si>
  <si>
    <t>Simon McQuoid</t>
  </si>
  <si>
    <t>Warner Bros. Pictures/New Line Cinema/Atomic Monster</t>
  </si>
  <si>
    <t>The Sheep Detectives</t>
  </si>
  <si>
    <t>Kyle Balda</t>
  </si>
  <si>
    <t>Metro-Goldwyn-Mayer/Working Title Films</t>
  </si>
  <si>
    <t>Billie Eilish – Hit Me Hard and Soft: The Tour (Live in 3D)</t>
  </si>
  <si>
    <t>James Cameron,Billie Eilish</t>
  </si>
  <si>
    <t>Paramount Pictures/Lightstorm Earth/Darkroom Films/Interscope Films</t>
  </si>
  <si>
    <t>Remarkably Bright Creatures</t>
  </si>
  <si>
    <t>Netflix/Anonymous Content</t>
  </si>
  <si>
    <t>Takeover</t>
  </si>
  <si>
    <t>Greg Jonkajtys</t>
  </si>
  <si>
    <t>Firestorm Entertainment / Quality Control Trioscope</t>
  </si>
  <si>
    <t>Influenced</t>
  </si>
  <si>
    <t>Rachel Israel</t>
  </si>
  <si>
    <t>Brainstorm Media/ Menemsha Films</t>
  </si>
  <si>
    <t>Neglected</t>
  </si>
  <si>
    <t>Inaugural Entertainment</t>
  </si>
  <si>
    <t>Broad Trip</t>
  </si>
  <si>
    <t>Crystal Lowe</t>
  </si>
  <si>
    <t>The Roku Channel</t>
  </si>
  <si>
    <t>Driver's Ed</t>
  </si>
  <si>
    <t>Magic Hour</t>
  </si>
  <si>
    <t>Greenwich Entertainment/Duplass Brothers Productions</t>
  </si>
  <si>
    <t>Jack Ryan: Ghost War</t>
  </si>
  <si>
    <t>Andrew Bernstein</t>
  </si>
  <si>
    <t>Amazon MGM Studios/Paramount Pictures/Sunday Night Productions</t>
  </si>
  <si>
    <t>The Mandalorian and Grogu</t>
  </si>
  <si>
    <t>Lucasfilm/Fairview Entertainment</t>
  </si>
  <si>
    <t>Passenger</t>
  </si>
  <si>
    <t>André Øvredal</t>
  </si>
  <si>
    <t>Ladies First</t>
  </si>
  <si>
    <t>Thea Sharrock</t>
  </si>
  <si>
    <t>Netflix/3dot Productions</t>
  </si>
  <si>
    <t>Tuner</t>
  </si>
  <si>
    <t>Black Bear Pictures/Elevation Pictures</t>
  </si>
  <si>
    <t>Corporate Retreat</t>
  </si>
  <si>
    <t>Western Film Service / Passage Pictures</t>
  </si>
  <si>
    <t>Situations</t>
  </si>
  <si>
    <t>Backrooms</t>
  </si>
  <si>
    <t>Kane Parsons</t>
  </si>
  <si>
    <t>A24/North Road Films/21 Laps Entertainment/Atomic Monster</t>
  </si>
  <si>
    <t>The Breadwinner</t>
  </si>
  <si>
    <t>TriStar Pictures/Wonder Project</t>
  </si>
  <si>
    <t>Power Ballad</t>
  </si>
  <si>
    <t>Lionsgate/30West/Screen Ireland/Likely Story</t>
  </si>
  <si>
    <t>Pitfall</t>
  </si>
  <si>
    <t>James Kondelik</t>
  </si>
  <si>
    <t>Speed Demon</t>
  </si>
  <si>
    <t>Maverick Film / Complex Corp</t>
  </si>
  <si>
    <t>Scary Movie</t>
  </si>
  <si>
    <t>Michael Tiddes</t>
  </si>
  <si>
    <t>Paramount Pictures/Miramax</t>
  </si>
  <si>
    <t>Masters of the Universe</t>
  </si>
  <si>
    <t>Travis Knight</t>
  </si>
  <si>
    <t>Metro-Goldwyn-Mayer/Mattel Studios/Escape Artists</t>
  </si>
  <si>
    <t>Office Romance</t>
  </si>
  <si>
    <t>Ol Parker</t>
  </si>
  <si>
    <t>Netflix/Ryder Picture Company/Nuyorican Productions</t>
  </si>
  <si>
    <t>Chum</t>
  </si>
  <si>
    <t>Independent Film Company</t>
  </si>
  <si>
    <t>Carolina Caroline</t>
  </si>
  <si>
    <t>Adam Carter Rehmeier</t>
  </si>
  <si>
    <t>Magnolia Pictures/FilmNation Entertainment</t>
  </si>
  <si>
    <t>The Passenger</t>
  </si>
  <si>
    <t>Vadim Perelman</t>
  </si>
  <si>
    <t>Vertical/Dark Castle Entertainment/Amasia Entertainment</t>
  </si>
  <si>
    <t>Disclosure Day</t>
  </si>
  <si>
    <t>Steven Spielberg</t>
  </si>
  <si>
    <t>In the Hand of Dante</t>
  </si>
  <si>
    <t>Netflix/DreamCrew Entertainment</t>
  </si>
  <si>
    <t>Stop! That! Train!</t>
  </si>
  <si>
    <t>Adam Shankman</t>
  </si>
  <si>
    <t>Bleecker Street/World of Wonder</t>
  </si>
  <si>
    <t>This Tempting Madness</t>
  </si>
  <si>
    <t>Broken Land</t>
  </si>
  <si>
    <t>Time of Death</t>
  </si>
  <si>
    <t>Will Wernick</t>
  </si>
  <si>
    <t>40 Dates and 40 Nights</t>
  </si>
  <si>
    <t>Andy Delaney</t>
  </si>
  <si>
    <t>Never Change!</t>
  </si>
  <si>
    <t>Marty Schousboe</t>
  </si>
  <si>
    <t>Hulu/APT Entertainment/All Things Comedy/American High</t>
  </si>
  <si>
    <t>Black Box</t>
  </si>
  <si>
    <t>Steven Quale</t>
  </si>
  <si>
    <t>Signature Entertainment/ Aura Entertainment</t>
  </si>
  <si>
    <t>Toy Story 5</t>
  </si>
  <si>
    <t>Girls Like Girls</t>
  </si>
  <si>
    <t>Focus Features/BuzzFeed Studios/Marc Platt Productions</t>
  </si>
  <si>
    <t>Supergirl</t>
  </si>
  <si>
    <t>Craig Gillespie</t>
  </si>
  <si>
    <t>Warner Bros. Pictures/DC Studios</t>
  </si>
  <si>
    <t>Jackass: Best and Last</t>
  </si>
  <si>
    <t>Jeff Tremaine</t>
  </si>
  <si>
    <t>Paramount Pictures/MTV Entertainment Studios</t>
  </si>
  <si>
    <t>Little Brother</t>
  </si>
  <si>
    <t>Matt Spicer</t>
  </si>
  <si>
    <t>Netflix/The District</t>
  </si>
  <si>
    <t>The Invite</t>
  </si>
  <si>
    <t>Olivia Wilde</t>
  </si>
  <si>
    <t>A24/Annapurna Pictures/FilmNation Entertainment</t>
  </si>
  <si>
    <t>Strung</t>
  </si>
  <si>
    <t>Malcolm D. Lee</t>
  </si>
  <si>
    <t>Peacock/Universal Pictures/Peachtree &amp; Vine/Blumhouse Productions</t>
  </si>
  <si>
    <t>The Get Out</t>
  </si>
  <si>
    <t>Lucky Strike</t>
  </si>
  <si>
    <t>Roadside Attractions/Saban Films</t>
  </si>
  <si>
    <t>The Room Returns!</t>
  </si>
  <si>
    <t>Brando Crawford</t>
  </si>
  <si>
    <t>Acting for a Cause</t>
  </si>
  <si>
    <t>Above the Line</t>
  </si>
  <si>
    <t>Jacked</t>
  </si>
  <si>
    <t>Indican Pictures</t>
  </si>
  <si>
    <t>Sugar Beach</t>
  </si>
  <si>
    <t>Noely Mendoza</t>
  </si>
  <si>
    <t>Seismic Releasing / Brace Yourself</t>
  </si>
  <si>
    <t>Bouchra</t>
  </si>
  <si>
    <t>Film Movement/Fondazione Prada</t>
  </si>
  <si>
    <t>Minions &amp; Monsters</t>
  </si>
  <si>
    <t>Enola Holmes 3</t>
  </si>
  <si>
    <t>Philip Barantini</t>
  </si>
  <si>
    <t>Netflix/Legendary Pictures</t>
  </si>
  <si>
    <t>Young Washington</t>
  </si>
  <si>
    <t>Angel Studios/Wonder Project</t>
  </si>
  <si>
    <t>Lockbox</t>
  </si>
  <si>
    <t>Daniel Stamm</t>
  </si>
  <si>
    <t>Aura Entertainment /Dark Castle Entertainment</t>
  </si>
  <si>
    <t>Gangland</t>
  </si>
  <si>
    <t>Vincent Grashaw</t>
  </si>
  <si>
    <t>Man of War</t>
  </si>
  <si>
    <t>Moana</t>
  </si>
  <si>
    <t>Thomas Kail</t>
  </si>
  <si>
    <t>Walt Disney Pictures/Seven Bucks Productions</t>
  </si>
  <si>
    <t>Evil Dead Burn</t>
  </si>
  <si>
    <t>Warner Bros. Pictures/New Line Cinema/Screen Gems/Ghost House Pictures</t>
  </si>
  <si>
    <t>Gail Daughtry and the Celebrity Sex Pass</t>
  </si>
  <si>
    <t>Sony Pictures Classics/Likely Story</t>
  </si>
  <si>
    <t>The Isolate Thief</t>
  </si>
  <si>
    <t>John Suits</t>
  </si>
  <si>
    <t>Radial Entertainment /Hideout Pictures</t>
  </si>
  <si>
    <t>The Floaters</t>
  </si>
  <si>
    <t>Descendants: Wicked Wonderland</t>
  </si>
  <si>
    <t>Kimmy Gatewood</t>
  </si>
  <si>
    <t>Disney Channel/Disney+</t>
  </si>
  <si>
    <t>They Fight</t>
  </si>
  <si>
    <t>Hulu/Andscape/Mandalay Pictures</t>
  </si>
  <si>
    <t>Borderline</t>
  </si>
  <si>
    <t>Ryan Jordan</t>
  </si>
  <si>
    <t>Hadestown: The Musical</t>
  </si>
  <si>
    <t>Brett Sullivan</t>
  </si>
  <si>
    <t>Crosswalk/LD Entertainment</t>
  </si>
  <si>
    <t>Motor City</t>
  </si>
  <si>
    <t>Independent Film Company/Stampede Ventures</t>
  </si>
  <si>
    <t>The Dink</t>
  </si>
  <si>
    <t>Josh Greenbaum</t>
  </si>
  <si>
    <t>Apple TV/Apple Original Films/Red Hour Films</t>
  </si>
  <si>
    <t>72 Hours</t>
  </si>
  <si>
    <t>Netflix/Sony Pictures/Davis Entertainment/Hartbeat Productions</t>
  </si>
  <si>
    <t>Her Private Hell</t>
  </si>
  <si>
    <t>Haunted Heist</t>
  </si>
  <si>
    <t>Lil Rel Howery</t>
  </si>
  <si>
    <t>Variance Films/Saban Films</t>
  </si>
  <si>
    <t>Avatar Aang: The Last Airbender</t>
  </si>
  <si>
    <t>Lauren Montgomery</t>
  </si>
  <si>
    <t>Paramount+/Paramount Pictures/Nickelodeon Movies/Avatar Studios</t>
  </si>
  <si>
    <t>The Gentleman Thief</t>
  </si>
  <si>
    <t>The Devil's Mouth</t>
  </si>
  <si>
    <t>Jeff Wadlow</t>
  </si>
  <si>
    <t>Amazon MGM Studios/Lionsgate/Thunder Road Films</t>
  </si>
  <si>
    <t>Above &amp; Below</t>
  </si>
  <si>
    <t>Aura Entertainment / AF Films / Match Point</t>
  </si>
  <si>
    <t>Spider-Man: Brand New Day</t>
  </si>
  <si>
    <t>Destin Daniel Cretton</t>
  </si>
  <si>
    <t>Columbia Pictures/Marvel Studios/Pascal Pictures</t>
  </si>
  <si>
    <t>I Want Your Sex</t>
  </si>
  <si>
    <t>Magnolia Pictures/Black Bear Pictures</t>
  </si>
  <si>
    <t>Terrestrial</t>
  </si>
  <si>
    <t>Steve Pink</t>
  </si>
  <si>
    <t>Aero Films</t>
  </si>
  <si>
    <t>Soulm8te</t>
  </si>
  <si>
    <t>Universal Pictures Home Entertainment/Blumhouse Productions/Atomic Monster</t>
  </si>
  <si>
    <t>One Night Only</t>
  </si>
  <si>
    <t>Universal Pictures/Olive Bridge Entertainment</t>
  </si>
  <si>
    <t>Super Troopers 3</t>
  </si>
  <si>
    <t>Jay Chandrasekhar</t>
  </si>
  <si>
    <t>Searchlight Pictures/Broken Lizard Industries</t>
  </si>
  <si>
    <t>The Last House</t>
  </si>
  <si>
    <t>Louis Leterrier</t>
  </si>
  <si>
    <t>Netflix/Chernin Entertainment/3 Arts Entertainment</t>
  </si>
  <si>
    <t>Tony</t>
  </si>
  <si>
    <t>Ice Cream Man</t>
  </si>
  <si>
    <t>Iconic Events</t>
  </si>
  <si>
    <t>Late Fame</t>
  </si>
  <si>
    <t>Kent Jones</t>
  </si>
  <si>
    <t>Magnolia Pictures/Killer Films</t>
  </si>
  <si>
    <t>Attack of the Killer Tomatoes: Organic Intelligence</t>
  </si>
  <si>
    <t>David Ferino</t>
  </si>
  <si>
    <t>Olmo</t>
  </si>
  <si>
    <t>Greenwich Entertainment/Plan B Entertainment</t>
  </si>
  <si>
    <t>Camp Rock 3</t>
  </si>
  <si>
    <t>Veronica Rodriguez</t>
  </si>
  <si>
    <t>Don't Say Good Luck</t>
  </si>
  <si>
    <t>All Night Wrong</t>
  </si>
  <si>
    <t>Jason James</t>
  </si>
  <si>
    <t>Insidious: Out of the Further</t>
  </si>
  <si>
    <t>Screen Gems/Stage 6 Films/Blumhouse Productions/Atomic Monster</t>
  </si>
  <si>
    <t>Mutiny</t>
  </si>
  <si>
    <t>Jean-François Richet</t>
  </si>
  <si>
    <t>Lionsgate/MadRiver Pictures/Punch Palace Productions</t>
  </si>
  <si>
    <t>The Magic Faraway Tree</t>
  </si>
  <si>
    <t>Ben Gregor</t>
  </si>
  <si>
    <t>Vertical/Neal Street Productions</t>
  </si>
  <si>
    <t>The Last Sunrise</t>
  </si>
  <si>
    <t>The Dog Stars</t>
  </si>
  <si>
    <t>20th Century Studios/Scott Free Productions</t>
  </si>
  <si>
    <t>Coyote vs. Acme</t>
  </si>
  <si>
    <t>Dave Green</t>
  </si>
  <si>
    <t>Ketchup Entertainment/Warner Bros. Pictures/Warner Animation Group</t>
  </si>
  <si>
    <t>Buddy</t>
  </si>
  <si>
    <t>The Whisper Man</t>
  </si>
  <si>
    <t>James Ashcroft</t>
  </si>
  <si>
    <t>Netflix/AGBO</t>
  </si>
  <si>
    <t>Legend of the White Dragon</t>
  </si>
  <si>
    <t>Fall 2: Deadpoint</t>
  </si>
  <si>
    <t>Peter and Michael Spierig</t>
  </si>
  <si>
    <t>By Any Means</t>
  </si>
  <si>
    <t>Elegance Bratton</t>
  </si>
  <si>
    <t>Paramount Pictures/Hammerstone Studios/Thunder Road</t>
  </si>
  <si>
    <t>Onslaught</t>
  </si>
  <si>
    <t>A24/Lyrical Media</t>
  </si>
  <si>
    <t>Virginia Woolf's Night and Day</t>
  </si>
  <si>
    <t>Tina Gharavi</t>
  </si>
  <si>
    <t>Practical Magic 2</t>
  </si>
  <si>
    <t>Susanne Bier</t>
  </si>
  <si>
    <t>Warner Bros. Pictures/Alcon Entertainment/Fortis Films/Blossom Films</t>
  </si>
  <si>
    <t>Runner</t>
  </si>
  <si>
    <t>Scott Waugh</t>
  </si>
  <si>
    <t>The Fix</t>
  </si>
  <si>
    <t>Inaugural Entertainment / Astral Future</t>
  </si>
  <si>
    <t>Impractical Studios / Redline Entertainment</t>
  </si>
  <si>
    <t>Resident Evil</t>
  </si>
  <si>
    <t>Columbia Pictures/Constantin Film/Davis Films/Vertigo Entertainment/PlayStation Productions</t>
  </si>
  <si>
    <t>The Weight</t>
  </si>
  <si>
    <t>Padraic McKinley</t>
  </si>
  <si>
    <t>Best of the Best</t>
  </si>
  <si>
    <t>Lena Khan</t>
  </si>
  <si>
    <t>Netflix/Rideback</t>
  </si>
  <si>
    <t>The Musical</t>
  </si>
  <si>
    <t>Giselle Bonilla</t>
  </si>
  <si>
    <t>Blue Harbor Entertainment /Variance Films</t>
  </si>
  <si>
    <t>Last Train to Fortune</t>
  </si>
  <si>
    <t>Adam Rifkin</t>
  </si>
  <si>
    <t>TriCoast Worldwide / Vitagraph Films</t>
  </si>
  <si>
    <t>The Love Hypothesis</t>
  </si>
  <si>
    <t>Claire Scanlon</t>
  </si>
  <si>
    <t>Amazon MGM Studios/MRC</t>
  </si>
  <si>
    <t>Heart of the Beast</t>
  </si>
  <si>
    <t>Paramount Pictures/Temple Hill Entertainment</t>
  </si>
  <si>
    <t>Primetime</t>
  </si>
  <si>
    <t>Lance Oppenheim</t>
  </si>
  <si>
    <t>A24/Square Peg</t>
  </si>
  <si>
    <t>Unabomber</t>
  </si>
  <si>
    <t>Janus Metz</t>
  </si>
  <si>
    <t>Netflix/2.0 Entertainment/MRC</t>
  </si>
  <si>
    <t>Charlie Harper</t>
  </si>
  <si>
    <t>Mac Eldridge</t>
  </si>
  <si>
    <t>Row K Entertainment/Temple Hill Entertainment</t>
  </si>
  <si>
    <t>Ha-Chan, Shake Your Booty!</t>
  </si>
  <si>
    <t>Sony Pictures Classics</t>
  </si>
  <si>
    <t>April X</t>
  </si>
  <si>
    <t>Rialto Pictures/ Lavi Star / Redflyingfox</t>
  </si>
  <si>
    <t>The Deputy</t>
  </si>
  <si>
    <t>Matt Sukkar</t>
  </si>
  <si>
    <t>Digger</t>
  </si>
  <si>
    <t>Warner Bros. Pictures/Legendary Pictures/TC Productions</t>
  </si>
  <si>
    <t>Verity</t>
  </si>
  <si>
    <t>Michael Showalter</t>
  </si>
  <si>
    <t>Metro-Goldwyn-Mayer/Shiny Penny Productions</t>
  </si>
  <si>
    <t>California Schemin'</t>
  </si>
  <si>
    <t>James McAvoy</t>
  </si>
  <si>
    <t>Crawlers</t>
  </si>
  <si>
    <t>Angel Gómez Hernandez</t>
  </si>
  <si>
    <t>Roadside Attractions/Saban Films/Thunder Road Films</t>
  </si>
  <si>
    <t>Nickels</t>
  </si>
  <si>
    <t>Spencer King</t>
  </si>
  <si>
    <t>Love of Your Life</t>
  </si>
  <si>
    <t>Amazon MGM Studios/Open Invite Entertainment</t>
  </si>
  <si>
    <t>Other Mommy</t>
  </si>
  <si>
    <t>Rob Savage</t>
  </si>
  <si>
    <t>Universal Pictures/Blumhouse Productions/Atomic Monster</t>
  </si>
  <si>
    <t>Tenzing</t>
  </si>
  <si>
    <t>Jennifer Peedom</t>
  </si>
  <si>
    <t>Apple Original Films/Apple Studios/See-Saw Films</t>
  </si>
  <si>
    <t>Matchbox: The Movie</t>
  </si>
  <si>
    <t>Sam Hargrave</t>
  </si>
  <si>
    <t>Apple TV/Apple Studios/Skydance Media/Mattel Studios</t>
  </si>
  <si>
    <t>Angel and the Badman</t>
  </si>
  <si>
    <t>Street Fighter</t>
  </si>
  <si>
    <t>Kitao Sakurai</t>
  </si>
  <si>
    <t>Paramount Pictures/Legendary Pictures/Capcom</t>
  </si>
  <si>
    <t>Whalefall</t>
  </si>
  <si>
    <t>20th Century Studios/Imagine Entertainment/3 Arts Entertainment</t>
  </si>
  <si>
    <t>Sense and Sensibility</t>
  </si>
  <si>
    <t>Georgia Oakley</t>
  </si>
  <si>
    <t>Clayface</t>
  </si>
  <si>
    <t>James Watkins</t>
  </si>
  <si>
    <t>Warner Bros. Pictures/DC Studios/6th &amp; Idaho Productions</t>
  </si>
  <si>
    <t>Klara and the Sun</t>
  </si>
  <si>
    <t>Columbia Pictures/3000 Pictures/Spyglass Media Group/Heyday Films/Piki Films</t>
  </si>
  <si>
    <t>Wildwood</t>
  </si>
  <si>
    <t>Fathom Entertainment/Laika</t>
  </si>
  <si>
    <t>Possible Love</t>
  </si>
  <si>
    <t>A Talent for Murder</t>
  </si>
  <si>
    <t>Anton Corbijn</t>
  </si>
  <si>
    <t>Christmas at the Kringles</t>
  </si>
  <si>
    <t>The Mongoose</t>
  </si>
  <si>
    <t>Mark Vanselow</t>
  </si>
  <si>
    <t>Stiletto</t>
  </si>
  <si>
    <t>The Horror Section</t>
  </si>
  <si>
    <t>Ghost Soldier</t>
  </si>
  <si>
    <t>William Eubank</t>
  </si>
  <si>
    <t>Columbia Pictures/Mandalay Pictures</t>
  </si>
  <si>
    <t>I Play Rocky</t>
  </si>
  <si>
    <t>Metro-Goldwyn-Mayer/FilmNation Entertainment</t>
  </si>
  <si>
    <t>Being Heumann</t>
  </si>
  <si>
    <t>Apple Original Films/Apple Studios</t>
  </si>
  <si>
    <t>Jimmy</t>
  </si>
  <si>
    <t>Aaron Burns</t>
  </si>
  <si>
    <t>Drummer Boy</t>
  </si>
  <si>
    <t>Joel David Smallbone, Ben Smallbone</t>
  </si>
  <si>
    <t>Ebenezer</t>
  </si>
  <si>
    <t>Ti West</t>
  </si>
  <si>
    <t>How to Rob a Bank</t>
  </si>
  <si>
    <t>Metro-Goldwyn-Mayer/Imagine Entertainment/87North Productions</t>
  </si>
  <si>
    <t>Madden</t>
  </si>
  <si>
    <t>Amazon MGM Studios/Escape Artists/Skydance Sports</t>
  </si>
  <si>
    <t>The Hunger Games: Sunrise on the Reaping</t>
  </si>
  <si>
    <t>Lionsgate/Color Force</t>
  </si>
  <si>
    <t>Way of the Warrior Kid</t>
  </si>
  <si>
    <t>Apple TV/Apple Studios/Skydance Media/Wonderland Sound and Vision/FilmNation Entertainment</t>
  </si>
  <si>
    <t>Steps</t>
  </si>
  <si>
    <t>Alyce Tzue, John Ripa</t>
  </si>
  <si>
    <t>Netflix/Netflix Animation Studios/Paper Kite Productions</t>
  </si>
  <si>
    <t>Elsinore</t>
  </si>
  <si>
    <t>Simon Stone</t>
  </si>
  <si>
    <t>Focus Features/StudioCanal/LD Entertainment</t>
  </si>
  <si>
    <t>Hexed</t>
  </si>
  <si>
    <t>Fawn Veerasunthorn, Jason Hand</t>
  </si>
  <si>
    <t>The Adventures of Cliff Booth</t>
  </si>
  <si>
    <t>David Fincher</t>
  </si>
  <si>
    <t>Netflix/Plan B Entertainment/Heyday Films</t>
  </si>
  <si>
    <t>Hershey</t>
  </si>
  <si>
    <t>The Man with the Bag</t>
  </si>
  <si>
    <t>Amazon MGM Studios/Grey Matter</t>
  </si>
  <si>
    <t>Violent Night 2</t>
  </si>
  <si>
    <t>Tommy Wirkola</t>
  </si>
  <si>
    <t>The Gallerist</t>
  </si>
  <si>
    <t>Roadside Attractions/Vertical/MountainA/Concordia Studio/MRC</t>
  </si>
  <si>
    <t>Flavia</t>
  </si>
  <si>
    <t>Bharat Nalluri</t>
  </si>
  <si>
    <t>Clarissa</t>
  </si>
  <si>
    <t>Arie Esiri,Chuko Esiri</t>
  </si>
  <si>
    <t>Zero A. D.</t>
  </si>
  <si>
    <t>Alejandro Gómez Monteverde</t>
  </si>
  <si>
    <t>In Waves</t>
  </si>
  <si>
    <t>Phuong Mai Nguyen</t>
  </si>
  <si>
    <t>Avengers: Doomsday</t>
  </si>
  <si>
    <t>Anthony Russo and Joe Russo</t>
  </si>
  <si>
    <t>Marvel Studios/AGBO</t>
  </si>
  <si>
    <t>Dune: Part Three</t>
  </si>
  <si>
    <t>Ray Gunn</t>
  </si>
  <si>
    <t>The Angry Birds Movie 3</t>
  </si>
  <si>
    <t>John Rice</t>
  </si>
  <si>
    <t>Paramount Pictures/Sega Sammy Group/Rovio Animation/Prime Focus Studios/One Cool Group/Dentsu</t>
  </si>
  <si>
    <t>Jumanji: Open World</t>
  </si>
  <si>
    <t>Columbia Pictures/Seven Bucks Productions</t>
  </si>
  <si>
    <t>Werwulf</t>
  </si>
  <si>
    <t>Focus Features/Working Title Films/Maiden Voyage Pictures</t>
  </si>
  <si>
    <t>Mr. Irrelevant: The John Tuggle Story</t>
  </si>
  <si>
    <t>Jonathan Levine</t>
  </si>
  <si>
    <t>Paramount Pictures/Skydance Sports</t>
  </si>
  <si>
    <t>Nutmeg &amp; Mistletoe</t>
  </si>
  <si>
    <t>Peter Herro</t>
  </si>
  <si>
    <t>Abyssal Films</t>
  </si>
  <si>
    <t>The Odyssey</t>
  </si>
  <si>
    <t>Christopher Nolan</t>
  </si>
  <si>
    <t>Universal Pictures / Syncopy Inc.</t>
  </si>
  <si>
    <t>Title</t>
  </si>
  <si>
    <t>Release_Year</t>
  </si>
  <si>
    <t>Release_Month</t>
  </si>
  <si>
    <t>Genres</t>
  </si>
  <si>
    <t>Runtime_Minutes</t>
  </si>
  <si>
    <t>Director</t>
  </si>
  <si>
    <t>Production_Company</t>
  </si>
  <si>
    <t>Content_Rating</t>
  </si>
  <si>
    <t>Avg Run Time</t>
  </si>
  <si>
    <t>Total=</t>
  </si>
  <si>
    <t>Average=</t>
  </si>
  <si>
    <t>Max=</t>
  </si>
  <si>
    <t>Min=</t>
  </si>
  <si>
    <t>Median=</t>
  </si>
  <si>
    <t>Column3</t>
  </si>
  <si>
    <t>Column4</t>
  </si>
  <si>
    <t>Column5</t>
  </si>
  <si>
    <t>Functios</t>
  </si>
  <si>
    <t>Value</t>
  </si>
  <si>
    <t>Value2</t>
  </si>
  <si>
    <t>Value3</t>
  </si>
  <si>
    <t>Value4</t>
  </si>
  <si>
    <t>Value5</t>
  </si>
  <si>
    <t>Row Labels</t>
  </si>
  <si>
    <t>Grand Total</t>
  </si>
  <si>
    <t>Total Budget</t>
  </si>
  <si>
    <t>IMDb_Rating</t>
  </si>
  <si>
    <t>Watch_Recommended</t>
  </si>
  <si>
    <t>Rating_Category</t>
  </si>
  <si>
    <t>Rating_Category_Ifs</t>
  </si>
  <si>
    <t>Target_audience</t>
  </si>
  <si>
    <t>Total Revenue</t>
  </si>
  <si>
    <t>Profit</t>
  </si>
  <si>
    <t>Net Profit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</si>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</sst>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5"/>
      <color theme="1" tint="4.9989318521683403E-2"/>
      <name val="Calibri"/>
      <family val="2"/>
      <scheme val="minor"/>
    </font>
    <font>
      <sz val="11"/>
      <color theme="1" tint="4.9989318521683403E-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5">
    <xf numFmtId="0" fontId="0" fillId="0" borderId="0" xfId="0"/>
    <xf numFmtId="16" fontId="0" fillId="0" borderId="0" xfId="0" applyNumberFormat="1"/>
    <xf numFmtId="44" fontId="0" fillId="0" borderId="0" xfId="42" applyFont="1"/>
    <xf numFmtId="164" fontId="0" fillId="0" borderId="0" xfId="0" applyNumberFormat="1"/>
    <xf numFmtId="0" fontId="0" fillId="0" borderId="0" xfId="0" applyAlignment="1">
      <alignment horizontal="center"/>
    </xf>
    <xf numFmtId="0" fontId="0" fillId="0" borderId="0" xfId="0" applyAlignment="1">
      <alignment horizontal="right" vertical="center"/>
    </xf>
    <xf numFmtId="0" fontId="0" fillId="0" borderId="0" xfId="0" pivotButton="1"/>
    <xf numFmtId="0" fontId="0" fillId="0" borderId="0" xfId="0" applyAlignment="1">
      <alignment horizontal="left"/>
    </xf>
    <xf numFmtId="0" fontId="19" fillId="0" borderId="1" xfId="2" applyFont="1"/>
    <xf numFmtId="0" fontId="19" fillId="0" borderId="1" xfId="2" applyFont="1" applyAlignment="1">
      <alignment horizontal="right" vertical="center"/>
    </xf>
    <xf numFmtId="0" fontId="19" fillId="0" borderId="1" xfId="2" applyFont="1" applyAlignment="1">
      <alignment horizontal="center"/>
    </xf>
    <xf numFmtId="0" fontId="19" fillId="0" borderId="1" xfId="2" quotePrefix="1" applyFont="1"/>
    <xf numFmtId="164" fontId="19" fillId="0" borderId="1" xfId="2" applyNumberFormat="1" applyFont="1"/>
    <xf numFmtId="0" fontId="19" fillId="0" borderId="1" xfId="2" applyFont="1" applyFill="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strike val="0"/>
        <outline val="0"/>
        <shadow val="0"/>
        <u val="none"/>
        <vertAlign val="baseline"/>
        <color theme="1" tint="4.9989318521683403E-2"/>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righ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[Movie_Box_Office_Dashboard_2024_2026.xlsx]Box Office Summary!PivotTable1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Budget,</a:t>
            </a:r>
            <a:r>
              <a:rPr lang="en-IN" baseline="0"/>
              <a:t> Revenue &amp; Profit Comparison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'Box Office Summary'!$B$9</c:f>
              <c:strCache>
                <c:ptCount val="1"/>
                <c:pt idx="0">
                  <c:v>Total Budget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'Box Office Summary'!$A$10:$A$13</c:f>
              <c:strCache>
                <c:ptCount val="3"/>
                <c:pt idx="0">
                  <c:v>2024</c:v>
                </c:pt>
                <c:pt idx="1">
                  <c:v>2025</c:v>
                </c:pt>
                <c:pt idx="2">
                  <c:v>2026</c:v>
                </c:pt>
              </c:strCache>
            </c:strRef>
          </c:cat>
          <c:val>
            <c:numRef>
              <c:f>'Box Office Summary'!$B$10:$B$13</c:f>
              <c:numCache>
                <c:formatCode>_-[$$-409]* #,##0.00_ ;_-[$$-409]* \-#,##0.00\ ;_-[$$-409]* "-"??_ ;_-@_ </c:formatCode>
                <c:ptCount val="3"/>
                <c:pt idx="0">
                  <c:v>7925670995</c:v>
                </c:pt>
                <c:pt idx="1">
                  <c:v>7286510176</c:v>
                </c:pt>
                <c:pt idx="2">
                  <c:v>7234847908</c:v>
                </c:pt>
              </c:numCache>
            </c:numRef>
          </c:val>
          <c:extLst>
            <c:ext xmlns:c16="http://schemas.microsoft.com/office/drawing/2014/chart" uri="{C3380CC4-5D6E-409C-BE32-E72D297353CC}">
              <c16:uniqueId val="{00000002-A037-4F57-8352-D6EB0564ADA4}"/>
            </c:ext>
          </c:extLst>
        </c:ser>
        <c:ser>
          <c:idx val="1"/>
          <c:order val="1"/>
          <c:tx>
            <c:strRef>
              <c:f>'Box Office Summary'!$C$9</c:f>
              <c:strCache>
                <c:ptCount val="1"/>
                <c:pt idx="0">
                  <c:v>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'Box Office Summary'!$A$10:$A$13</c:f>
              <c:strCache>
                <c:ptCount val="3"/>
                <c:pt idx="0">
                  <c:v>2024</c:v>
                </c:pt>
                <c:pt idx="1">
                  <c:v>2025</c:v>
                </c:pt>
                <c:pt idx="2">
                  <c:v>2026</c:v>
                </c:pt>
              </c:strCache>
            </c:strRef>
          </c:cat>
          <c:val>
            <c:numRef>
              <c:f>'Box Office Summary'!$C$10:$C$13</c:f>
              <c:numCache>
                <c:formatCode>_-[$$-409]* #,##0.00_ ;_-[$$-409]* \-#,##0.00\ ;_-[$$-409]* "-"??_ ;_-@_ </c:formatCode>
                <c:ptCount val="3"/>
                <c:pt idx="0">
                  <c:v>13492212456</c:v>
                </c:pt>
                <c:pt idx="1">
                  <c:v>11788070205</c:v>
                </c:pt>
                <c:pt idx="2">
                  <c:v>12388313125</c:v>
                </c:pt>
              </c:numCache>
            </c:numRef>
          </c:val>
          <c:extLst>
            <c:ext xmlns:c16="http://schemas.microsoft.com/office/drawing/2014/chart" uri="{C3380CC4-5D6E-409C-BE32-E72D297353CC}">
              <c16:uniqueId val="{00000003-A037-4F57-8352-D6EB0564ADA4}"/>
            </c:ext>
          </c:extLst>
        </c:ser>
        <c:ser>
          <c:idx val="2"/>
          <c:order val="2"/>
          <c:tx>
            <c:strRef>
              <c:f>'Box Office Summary'!$D$9</c:f>
              <c:strCache>
                <c:ptCount val="1"/>
                <c:pt idx="0">
                  <c:v>Net Profit</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'Box Office Summary'!$A$10:$A$13</c:f>
              <c:strCache>
                <c:ptCount val="3"/>
                <c:pt idx="0">
                  <c:v>2024</c:v>
                </c:pt>
                <c:pt idx="1">
                  <c:v>2025</c:v>
                </c:pt>
                <c:pt idx="2">
                  <c:v>2026</c:v>
                </c:pt>
              </c:strCache>
            </c:strRef>
          </c:cat>
          <c:val>
            <c:numRef>
              <c:f>'Box Office Summary'!$D$10:$D$13</c:f>
              <c:numCache>
                <c:formatCode>_-[$$-409]* #,##0.00_ ;_-[$$-409]* \-#,##0.00\ ;_-[$$-409]* "-"??_ ;_-@_ </c:formatCode>
                <c:ptCount val="3"/>
                <c:pt idx="0">
                  <c:v>5566541461</c:v>
                </c:pt>
                <c:pt idx="1">
                  <c:v>4501560029</c:v>
                </c:pt>
                <c:pt idx="2">
                  <c:v>5153465217</c:v>
                </c:pt>
              </c:numCache>
            </c:numRef>
          </c:val>
          <c:extLst>
            <c:ext xmlns:c16="http://schemas.microsoft.com/office/drawing/2014/chart" uri="{C3380CC4-5D6E-409C-BE32-E72D297353CC}">
              <c16:uniqueId val="{00000004-A037-4F57-8352-D6EB0564ADA4}"/>
            </c:ext>
          </c:extLst>
        </c:ser>
        <c:dLbls>
          <c:dLblPos val="outEnd"/>
          <c:showLegendKey val="0"/>
          <c:showVal val="1"/>
          <c:showCatName val="0"/>
          <c:showSerName val="0"/>
          <c:showPercent val="0"/>
          <c:showBubbleSize val="0"/>
        </c:dLbls>
        <c:gapWidth val="100"/>
        <c:overlap val="-24"/>
        <c:axId val="1723646576"/>
        <c:axId val="1723652400"/>
      </c:barChart>
      <c:catAx>
        <c:axId val="172364657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652400"/>
        <c:crosses val="autoZero"/>
        <c:auto val="1"/>
        <c:lblAlgn val="ctr"/>
        <c:lblOffset val="100"/>
        <c:noMultiLvlLbl val="0"/>
      </c:catAx>
      <c:valAx>
        <c:axId val="1723652400"/>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646576"/>
        <c:crosses val="autoZero"/>
        <c:crossBetween val="between"/>
        <c:dispUnits>
          <c:builtInUnit val="billion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solidFill>
            <a:schemeClr val="tx1">
              <a:lumMod val="85000"/>
              <a:lumOff val="15000"/>
            </a:schemeClr>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4</xdr:row>
      <xdr:rowOff>7620</xdr:rowOff>
    </xdr:from>
    <xdr:to>
      <xdr:col>3</xdr:col>
      <xdr:colOff>0</xdr:colOff>
      <xdr:row>7</xdr:row>
      <xdr:rowOff>137160</xdr:rowOff>
    </xdr:to>
    <mc:AlternateContent xmlns:mc="http://schemas.openxmlformats.org/markup-compatibility/2006" xmlns:a14="http://schemas.microsoft.com/office/drawing/2010/main">
      <mc:Choice Requires="a14">
        <xdr:graphicFrame macro="">
          <xdr:nvGraphicFramePr>
            <xdr:cNvPr id="2" name="Release_Year">
              <a:extLst>
                <a:ext uri="{FF2B5EF4-FFF2-40B4-BE49-F238E27FC236}">
                  <a16:creationId xmlns:a16="http://schemas.microsoft.com/office/drawing/2014/main" id="{A883B561-8FF3-4CF7-B3E5-3EF5BA26178B}"/>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22860" y="739140"/>
              <a:ext cx="345948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205740</xdr:colOff>
      <xdr:row>3</xdr:row>
      <xdr:rowOff>45720</xdr:rowOff>
    </xdr:from>
    <xdr:to>
      <xdr:col>16</xdr:col>
      <xdr:colOff>236220</xdr:colOff>
      <xdr:row>23</xdr:row>
      <xdr:rowOff>15240</xdr:rowOff>
    </xdr:to>
    <xdr:graphicFrame macro="">
      <xdr:nvGraphicFramePr>
        <xdr:cNvPr id="4" name="Chart 3">
          <a:extLst>
            <a:ext uri="{FF2B5EF4-FFF2-40B4-BE49-F238E27FC236}">
              <a16:creationId xmlns:a16="http://schemas.microsoft.com/office/drawing/2014/main" id="{95698AB5-7082-4496-9824-1993A9369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moy Deb" refreshedDate="46262.44922962963" createdVersion="7" refreshedVersion="7" minRefreshableVersion="3" recordCount="916" xr:uid="{EDACD554-BC87-4711-915D-09AA6662E1DD}">
  <cacheSource type="worksheet">
    <worksheetSource name="Table1"/>
  </cacheSource>
  <cacheFields count="17">
    <cacheField name="Title" numFmtId="0">
      <sharedItems containsDate="1" containsMixedTypes="1" minDate="1900-01-01T10:40:04" maxDate="2026-09-06T00:00:00"/>
    </cacheField>
    <cacheField name="Release_Year" numFmtId="0">
      <sharedItems containsSemiMixedTypes="0" containsString="0" containsNumber="1" containsInteger="1" minValue="2024" maxValue="2026" count="3">
        <n v="2026"/>
        <n v="2025"/>
        <n v="2024"/>
      </sharedItems>
    </cacheField>
    <cacheField name="Release_Month" numFmtId="0">
      <sharedItems/>
    </cacheField>
    <cacheField name="Genres" numFmtId="0">
      <sharedItems count="20">
        <s v="Animation, Family, Adventure"/>
        <s v="Sci-Fi, Adventure"/>
        <s v="Action, Adventure, Drama, History"/>
        <s v="Drama, Thriller"/>
        <s v="Adventure, Drama"/>
        <s v="Drama"/>
        <s v="Romance, Drama"/>
        <s v="Horror, Mystery, Thriller"/>
        <s v="Horror, Thriller"/>
        <s v="Mystery, Thriller"/>
        <s v="Comedy, Drama"/>
        <s v="Crime, Drama"/>
        <s v="Comedy"/>
        <s v="Musical, Drama"/>
        <s v="Crime, Thriller"/>
        <s v="Animation, Family, Comedy"/>
        <s v="Action, Sci-Fi, Superhero"/>
        <s v="Action, Thriller"/>
        <s v="Action, Adventure, Drama, Sci-Fi"/>
        <s v="Romance, Comedy"/>
      </sharedItems>
    </cacheField>
    <cacheField name="Rating_Out_Of_10" numFmtId="0">
      <sharedItems containsSemiMixedTypes="0" containsString="0" containsNumber="1" minValue="6" maxValue="9.1999999999999993"/>
    </cacheField>
    <cacheField name="IF&gt;6.5" numFmtId="0">
      <sharedItems/>
    </cacheField>
    <cacheField name="Ifs" numFmtId="0">
      <sharedItems/>
    </cacheField>
    <cacheField name="IF,s'" numFmtId="0">
      <sharedItems/>
    </cacheField>
    <cacheField name="Runtime_Minutes" numFmtId="0">
      <sharedItems containsSemiMixedTypes="0" containsString="0" containsNumber="1" containsInteger="1" minValue="90" maxValue="164"/>
    </cacheField>
    <cacheField name="Avg Run Time" numFmtId="0">
      <sharedItems containsNonDate="0" containsString="0" containsBlank="1"/>
    </cacheField>
    <cacheField name="Box_Office_Collection" numFmtId="164">
      <sharedItems containsSemiMixedTypes="0" containsString="0" containsNumber="1" containsInteger="1" minValue="25312602" maxValue="510700365" count="751">
        <n v="33331800"/>
        <n v="29928807"/>
        <n v="29472186"/>
        <n v="36211512"/>
        <n v="27162417"/>
        <n v="33971736"/>
        <n v="29662167"/>
        <n v="27055761"/>
        <n v="29902143"/>
        <n v="29298870"/>
        <n v="28222311"/>
        <n v="43170405"/>
        <n v="30082125"/>
        <n v="39004155"/>
        <n v="29238876"/>
        <n v="25572576"/>
        <n v="45631270"/>
        <n v="27905676"/>
        <n v="27922341"/>
        <n v="26809119"/>
        <n v="27132420"/>
        <n v="46281205"/>
        <n v="26355831"/>
        <n v="27229077"/>
        <n v="28655601"/>
        <n v="26079192"/>
        <n v="30428757"/>
        <n v="29382195"/>
        <n v="26372496"/>
        <n v="29332200"/>
        <n v="28172316"/>
        <n v="28232310"/>
        <n v="46870035"/>
        <n v="28312302"/>
        <n v="40703985"/>
        <n v="29012232"/>
        <n v="27749025"/>
        <n v="51358475"/>
        <n v="29758824"/>
        <n v="28618938"/>
        <n v="29765490"/>
        <n v="28995567"/>
        <n v="26172516"/>
        <n v="28448955"/>
        <n v="27415725"/>
        <n v="40687731"/>
        <n v="26109189"/>
        <n v="30195447"/>
        <n v="29338866"/>
        <n v="26905776"/>
        <n v="31355331"/>
        <n v="29232210"/>
        <n v="26432490"/>
        <n v="29335533"/>
        <n v="32648535"/>
        <n v="30525414"/>
        <n v="29275539"/>
        <n v="40798420"/>
        <n v="496602375"/>
        <n v="31395327"/>
        <n v="30625404"/>
        <n v="28938906"/>
        <n v="26735793"/>
        <n v="40170705"/>
        <n v="27195747"/>
        <n v="492651975"/>
        <n v="27219078"/>
        <n v="27245742"/>
        <n v="35938206"/>
        <n v="30338766"/>
        <n v="30752058"/>
        <n v="27912342"/>
        <n v="59225877"/>
        <n v="43242620"/>
        <n v="27455721"/>
        <n v="30222111"/>
        <n v="27472386"/>
        <n v="27052428"/>
        <n v="40354020"/>
        <n v="28642269"/>
        <n v="30605406"/>
        <n v="27835683"/>
        <n v="26069193"/>
        <n v="32895177"/>
        <n v="28562277"/>
        <n v="48331000"/>
        <n v="26785788"/>
        <n v="28902243"/>
        <n v="31638636"/>
        <n v="27129087"/>
        <n v="30988701"/>
        <n v="27819018"/>
        <n v="28585608"/>
        <n v="26655801"/>
        <n v="29075559"/>
        <n v="27575709"/>
        <n v="27159084"/>
        <n v="33538446"/>
        <n v="26459154"/>
        <n v="34345032"/>
        <n v="30018798"/>
        <n v="27482385"/>
        <n v="28555611"/>
        <n v="31491984"/>
        <n v="29002233"/>
        <n v="32638536"/>
        <n v="28252308"/>
        <n v="27882345"/>
        <n v="25759224"/>
        <n v="27762357"/>
        <n v="29355531"/>
        <n v="42720450"/>
        <n v="28552278"/>
        <n v="26395827"/>
        <n v="31348665"/>
        <n v="28345632"/>
        <n v="26365830"/>
        <n v="47742170"/>
        <n v="27175749"/>
        <n v="27902343"/>
        <n v="28925574"/>
        <n v="29088891"/>
        <n v="30398760"/>
        <n v="30152118"/>
        <n v="481084710"/>
        <n v="510700365"/>
        <n v="488257155"/>
        <n v="31651968"/>
        <n v="509194275"/>
        <n v="30658734"/>
        <n v="44764690"/>
        <n v="501787275"/>
        <n v="28838916"/>
        <n v="27405726"/>
        <n v="27615705"/>
        <n v="43125965"/>
        <n v="37028097"/>
        <n v="29985468"/>
        <n v="28595607"/>
        <n v="27885678"/>
        <n v="28185648"/>
        <n v="27985668"/>
        <n v="27122421"/>
        <n v="26972436"/>
        <n v="29655501"/>
        <n v="43220400"/>
        <n v="28418958"/>
        <n v="29132220"/>
        <n v="28648935"/>
        <n v="28278972"/>
        <n v="29322201"/>
        <n v="30595407"/>
        <n v="28615605"/>
        <n v="28012332"/>
        <n v="27942339"/>
        <n v="32131920"/>
        <n v="29182215"/>
        <n v="26075859"/>
        <n v="30265440"/>
        <n v="28942239"/>
        <n v="30472086"/>
        <n v="29738826"/>
        <n v="31508649"/>
        <n v="28165650"/>
        <n v="28625604"/>
        <n v="27439056"/>
        <n v="29682165"/>
        <n v="31308669"/>
        <n v="29352198"/>
        <n v="27899010"/>
        <n v="39826295"/>
        <n v="27929007"/>
        <n v="28678932"/>
        <n v="29932140"/>
        <n v="28985568"/>
        <n v="39465220"/>
        <n v="28128987"/>
        <n v="40187370"/>
        <n v="27879012"/>
        <n v="27209079"/>
        <n v="29752158"/>
        <n v="27895677"/>
        <n v="28922241"/>
        <n v="30025464"/>
        <n v="29208879"/>
        <n v="29025564"/>
        <n v="30175449"/>
        <n v="28162317"/>
        <n v="27959004"/>
        <n v="39120810"/>
        <n v="42242720"/>
        <n v="40159595"/>
        <n v="32018598"/>
        <n v="30218778"/>
        <n v="26465820"/>
        <n v="25799220"/>
        <n v="27919008"/>
        <n v="27589041"/>
        <n v="27152418"/>
        <n v="45020220"/>
        <n v="30542079"/>
        <n v="27785688"/>
        <n v="32935173"/>
        <n v="47192225"/>
        <n v="29548845"/>
        <n v="46009010"/>
        <n v="32531880"/>
        <n v="27849015"/>
        <n v="41964970"/>
        <n v="28138986"/>
        <n v="27165750"/>
        <n v="28088991"/>
        <n v="28328967"/>
        <n v="31065360"/>
        <n v="67931673"/>
        <n v="50964070"/>
        <n v="27529047"/>
        <n v="28155651"/>
        <n v="27775689"/>
        <n v="41448355"/>
        <n v="28002333"/>
        <n v="27842349"/>
        <n v="27872346"/>
        <n v="28572276"/>
        <n v="26505816"/>
        <n v="30425424"/>
        <n v="42226055"/>
        <n v="29612172"/>
        <n v="28528947"/>
        <n v="27139086"/>
        <n v="39504105"/>
        <n v="36904776"/>
        <n v="43314835"/>
        <n v="28295637"/>
        <n v="28862247"/>
        <n v="26479152"/>
        <n v="28292304"/>
        <n v="44170305"/>
        <n v="31381995"/>
        <n v="26509149"/>
        <n v="26399160"/>
        <n v="33681765"/>
        <n v="27179082"/>
        <n v="26732460"/>
        <n v="29852148"/>
        <n v="27392394"/>
        <n v="32761857"/>
        <n v="26895777"/>
        <n v="30745392"/>
        <n v="27535713"/>
        <n v="42214945"/>
        <n v="40337355"/>
        <n v="30568743"/>
        <n v="30718728"/>
        <n v="27792354"/>
        <n v="31578642"/>
        <n v="29835483"/>
        <n v="27555711"/>
        <n v="28988901"/>
        <n v="30508749"/>
        <n v="41009510"/>
        <n v="29668833"/>
        <n v="28242309"/>
        <n v="29785488"/>
        <n v="43264840"/>
        <n v="30855381"/>
        <n v="27915675"/>
        <n v="33835083"/>
        <n v="26865780"/>
        <n v="26805786"/>
        <n v="27695697"/>
        <n v="27875679"/>
        <n v="29505516"/>
        <n v="28215645"/>
        <n v="31338666"/>
        <n v="30168783"/>
        <n v="27829017"/>
        <n v="29212212"/>
        <n v="32128587"/>
        <n v="26832450"/>
        <n v="27939006"/>
        <n v="41942750"/>
        <n v="29955471"/>
        <n v="25312602"/>
        <n v="29558844"/>
        <n v="32888511"/>
        <n v="29538846"/>
        <n v="39054150"/>
        <n v="25369263"/>
        <n v="38498650"/>
        <n v="28205646"/>
        <n v="31821951"/>
        <n v="26792454"/>
        <n v="30678732"/>
        <n v="29435523"/>
        <n v="33511782"/>
        <n v="30665400"/>
        <n v="28488951"/>
        <n v="26402493"/>
        <n v="27085758"/>
        <n v="31978602"/>
        <n v="28362297"/>
        <n v="32248575"/>
        <n v="30078792"/>
        <n v="29048895"/>
        <n v="29045562"/>
        <n v="28245642"/>
        <n v="29575509"/>
        <n v="30565410"/>
        <n v="28582275"/>
        <n v="27489051"/>
        <n v="44403615"/>
        <n v="30408759"/>
        <n v="27462387"/>
        <n v="27855681"/>
        <n v="26015865"/>
        <n v="26445822"/>
        <n v="26569143"/>
        <n v="40942850"/>
        <n v="28235643"/>
        <n v="28368963"/>
        <n v="48281005"/>
        <n v="26115855"/>
        <n v="51052950"/>
        <n v="31048695"/>
        <n v="496503615"/>
        <n v="27379062"/>
        <n v="29345532"/>
        <n v="31182015"/>
        <n v="28415625"/>
        <n v="35191614"/>
        <n v="27469053"/>
        <n v="30355431"/>
        <n v="29818818"/>
        <n v="38021331"/>
        <n v="28908909"/>
        <n v="29582175"/>
        <n v="29062227"/>
        <n v="31888611"/>
        <n v="28195647"/>
        <n v="29218878"/>
        <n v="29248875"/>
        <n v="41459465"/>
        <n v="51675110"/>
        <n v="34195047"/>
        <n v="34395027"/>
        <n v="27989001"/>
        <n v="26535813"/>
        <n v="28708929"/>
        <n v="28842249"/>
        <n v="27485718"/>
        <n v="28518948"/>
        <n v="43053750"/>
        <n v="27949005"/>
        <n v="26842449"/>
        <n v="27442389"/>
        <n v="27435723"/>
        <n v="28198980"/>
        <n v="27852348"/>
        <n v="33838416"/>
        <n v="41281705"/>
        <n v="29485518"/>
        <n v="29408859"/>
        <n v="43209290"/>
        <n v="31162017"/>
        <n v="28238976"/>
        <n v="40270695"/>
        <n v="28928907"/>
        <n v="26782455"/>
        <n v="31635303"/>
        <n v="30132120"/>
        <n v="30732060"/>
        <n v="28515615"/>
        <n v="28972236"/>
        <n v="28672266"/>
        <n v="30002133"/>
        <n v="28218978"/>
        <n v="501416925"/>
        <n v="28892244"/>
        <n v="28702263"/>
        <n v="51614005"/>
        <n v="33785088"/>
        <n v="25679232"/>
        <n v="34278372"/>
        <n v="28818918"/>
        <n v="28998900"/>
        <n v="34874979"/>
        <n v="26882445"/>
        <n v="28182315"/>
        <n v="40215145"/>
        <n v="26859114"/>
        <n v="29958804"/>
        <n v="27769023"/>
        <n v="26059194"/>
        <n v="476467680"/>
        <n v="33205146"/>
        <n v="28202313"/>
        <n v="45564610"/>
        <n v="26705796"/>
        <n v="30572076"/>
        <n v="26775789"/>
        <n v="28715595"/>
        <n v="30368763"/>
        <n v="33868413"/>
        <n v="27752358"/>
        <n v="28788921"/>
        <n v="28262307"/>
        <n v="28275639"/>
        <n v="27202413"/>
        <n v="33668433"/>
        <n v="27262407"/>
        <n v="27332400"/>
        <n v="33821751"/>
        <n v="27975669"/>
        <n v="27102423"/>
        <n v="29802153"/>
        <n v="30622071"/>
        <n v="27502383"/>
        <n v="42664900"/>
        <n v="29402193"/>
        <n v="29685498"/>
        <n v="37826495"/>
        <n v="29358864"/>
        <n v="26729127"/>
        <n v="39998500"/>
        <n v="31252008"/>
        <n v="46620060"/>
        <n v="43800753"/>
        <n v="29718828"/>
        <n v="31125354"/>
        <n v="29148885"/>
        <n v="33891744"/>
        <n v="28498950"/>
        <n v="30442089"/>
        <n v="28422291"/>
        <n v="33518448"/>
        <n v="40331800"/>
        <n v="27095757"/>
        <n v="31588641"/>
        <n v="29392194"/>
        <n v="26819118"/>
        <n v="30885378"/>
        <n v="26752458"/>
        <n v="28152318"/>
        <n v="26475819"/>
        <n v="30322101"/>
        <n v="64482018"/>
        <n v="30248775"/>
        <n v="31718628"/>
        <n v="28955571"/>
        <n v="28085658"/>
        <n v="31322001"/>
        <n v="29648835"/>
        <n v="30468753"/>
        <n v="30858714"/>
        <n v="32771856"/>
        <n v="492392730"/>
        <n v="486541200"/>
        <n v="35251608"/>
        <n v="27042429"/>
        <n v="27992334"/>
        <n v="27889011"/>
        <n v="27222411"/>
        <n v="28568943"/>
        <n v="29022231"/>
        <n v="29055561"/>
        <n v="31478652"/>
        <n v="29328867"/>
        <n v="26762457"/>
        <n v="27539046"/>
        <n v="27932340"/>
        <n v="26045862"/>
        <n v="33335133"/>
        <n v="27215745"/>
        <n v="31625304"/>
        <n v="26495817"/>
        <n v="28935573"/>
        <n v="28898910"/>
        <n v="26765790"/>
        <n v="29938806"/>
        <n v="27955671"/>
        <n v="31375329"/>
        <n v="42342710"/>
        <n v="29415525"/>
        <n v="27522381"/>
        <n v="43903665"/>
        <n v="27105756"/>
        <n v="26429157"/>
        <n v="27419058"/>
        <n v="27155751"/>
        <n v="28395627"/>
        <n v="45803475"/>
        <n v="29312202"/>
        <n v="27525714"/>
        <n v="33585108"/>
        <n v="27112422"/>
        <n v="45253530"/>
        <n v="28258974"/>
        <n v="28228977"/>
        <n v="49075370"/>
        <n v="51725105"/>
        <n v="25702563"/>
        <n v="28952238"/>
        <n v="33855081"/>
        <n v="26679132"/>
        <n v="29692164"/>
        <n v="30262107"/>
        <n v="28588941"/>
        <n v="34055061"/>
        <n v="30992034"/>
        <n v="29378862"/>
        <n v="31545312"/>
        <n v="26289171"/>
        <n v="42014965"/>
        <n v="28225644"/>
        <n v="31178682"/>
        <n v="33178482"/>
        <n v="42187170"/>
        <n v="26815785"/>
        <n v="29242209"/>
        <n v="29498850"/>
        <n v="26929107"/>
        <n v="30715395"/>
        <n v="59219211"/>
        <n v="30062127"/>
        <n v="41109500"/>
        <n v="47431090"/>
        <n v="27805686"/>
        <n v="27015765"/>
        <n v="28752258"/>
        <n v="28505616"/>
        <n v="28628937"/>
        <n v="62422224"/>
        <n v="26995767"/>
        <n v="30302103"/>
        <n v="45214645"/>
        <n v="33781755"/>
        <n v="27369063"/>
        <n v="35384928"/>
        <n v="36691464"/>
        <n v="27815685"/>
        <n v="42098290"/>
        <n v="29388861"/>
        <n v="27075759"/>
        <n v="27169083"/>
        <n v="28848915"/>
        <n v="29155551"/>
        <n v="27242409"/>
        <n v="43675910"/>
        <n v="29632170"/>
        <n v="26812452"/>
        <n v="33445122"/>
        <n v="29732160"/>
        <n v="38077992"/>
        <n v="28192314"/>
        <n v="32561877"/>
        <n v="28532280"/>
        <n v="27142419"/>
        <n v="27552378"/>
        <n v="29555511"/>
        <n v="27465720"/>
        <n v="26822451"/>
        <n v="28958904"/>
        <n v="39644502"/>
        <n v="27185748"/>
        <n v="35788221"/>
        <n v="30842049"/>
        <n v="27479052"/>
        <n v="28962237"/>
        <n v="25455921"/>
        <n v="41548345"/>
        <n v="26712462"/>
        <n v="30052128"/>
        <n v="28722261"/>
        <n v="25459254"/>
        <n v="30178782"/>
        <n v="30648735"/>
        <n v="27509049"/>
        <n v="26412492"/>
        <n v="38244642"/>
        <n v="27235743"/>
        <n v="38301303"/>
        <n v="28145652"/>
        <n v="30092124"/>
        <n v="42676010"/>
        <n v="497738115"/>
        <n v="27845682"/>
        <n v="30432090"/>
        <n v="29235543"/>
        <n v="27145752"/>
        <n v="30348765"/>
        <n v="30555411"/>
        <n v="33031830"/>
        <n v="44548045"/>
        <n v="29658834"/>
        <n v="31575309"/>
        <n v="27452388"/>
        <n v="29988801"/>
        <n v="26052528"/>
        <n v="27742359"/>
        <n v="27199080"/>
        <n v="29348865"/>
        <n v="31391994"/>
        <n v="27822351"/>
        <n v="28852248"/>
        <n v="29635503"/>
        <n v="28865580"/>
        <n v="45264640"/>
        <n v="40487340"/>
        <n v="28828917"/>
        <n v="26002533"/>
        <n v="31142019"/>
        <n v="29375529"/>
        <n v="29255541"/>
        <n v="27545712"/>
        <n v="31745292"/>
        <n v="47464420"/>
        <n v="31285338"/>
        <n v="28248975"/>
        <n v="28598940"/>
        <n v="29288871"/>
        <n v="33661767"/>
        <n v="28885578"/>
        <n v="46342310"/>
        <n v="491010090"/>
        <n v="36514815"/>
        <n v="29952138"/>
        <n v="32891844"/>
        <n v="31788621"/>
        <n v="27642369"/>
        <n v="28495617"/>
        <n v="498009705"/>
        <n v="32001933"/>
        <n v="33685098"/>
        <n v="39307869"/>
        <n v="34511682"/>
        <n v="39104145"/>
        <n v="29608839"/>
        <n v="30785388"/>
        <n v="27475719"/>
        <n v="27515715"/>
        <n v="26769123"/>
        <n v="30072126"/>
        <n v="30255441"/>
        <n v="30615405"/>
        <n v="30575409"/>
        <n v="487701630"/>
        <n v="28282305"/>
        <n v="29898810"/>
        <n v="42120510"/>
        <n v="42092735"/>
        <n v="26039196"/>
        <n v="30122121"/>
        <n v="29545512"/>
        <n v="62478885"/>
        <n v="29158884"/>
        <n v="490281735"/>
        <n v="28825584"/>
        <n v="29438856"/>
        <n v="41453910"/>
        <n v="50980735"/>
        <n v="46825595"/>
        <n v="33931740"/>
        <n v="34281705"/>
        <n v="31925274"/>
        <n v="41403915"/>
        <n v="39565210"/>
        <n v="30282105"/>
        <n v="27065760"/>
        <n v="29892144"/>
        <n v="29865480"/>
        <n v="27925674"/>
        <n v="27099090"/>
        <n v="28918908"/>
        <n v="28605606"/>
        <n v="28608939"/>
        <n v="29032230"/>
        <n v="42048295"/>
        <n v="34671666"/>
        <n v="43953660"/>
        <n v="31172016"/>
        <n v="34351698"/>
        <n v="31681965"/>
        <n v="32071926"/>
        <n v="29725494"/>
        <n v="32208579"/>
        <n v="44009210"/>
        <n v="31931940"/>
        <n v="28535613"/>
        <n v="30485418"/>
        <n v="26335833"/>
        <n v="31012032"/>
        <n v="30288771"/>
        <n v="26415825"/>
        <n v="26449155"/>
        <n v="26085858"/>
        <n v="28175649"/>
        <n v="28018998"/>
        <n v="38398660"/>
        <n v="31498650"/>
        <n v="32541879"/>
        <n v="28005666"/>
        <n v="39604095"/>
        <n v="30768723"/>
        <n v="482380935"/>
        <n v="27795687"/>
        <n v="482072310"/>
        <n v="28635603"/>
        <n v="28602273"/>
        <n v="26902443"/>
        <n v="28265640"/>
        <n v="34288371"/>
        <n v="41437245"/>
        <n v="52141730"/>
        <n v="488528745"/>
        <n v="26455821"/>
        <n v="28782255"/>
        <n v="35811552"/>
        <n v="43048195"/>
        <n v="26379162"/>
        <n v="30112122"/>
        <n v="30698730"/>
        <n v="31935273"/>
        <n v="27549045"/>
        <n v="42437145"/>
        <n v="27182415"/>
        <n v="41326145"/>
        <n v="41409470"/>
        <n v="29442189"/>
        <n v="31955271"/>
        <n v="43214845"/>
        <n v="29265540"/>
        <n v="29995467"/>
        <n v="27449055"/>
        <n v="27689031"/>
        <n v="30725394"/>
        <n v="29992134"/>
        <n v="32325234"/>
        <n v="30105456"/>
        <n v="28212312"/>
        <n v="44159195"/>
        <n v="30095457"/>
        <n v="26802453"/>
        <n v="26835783"/>
        <n v="41342810"/>
        <n v="26685798"/>
        <n v="30318768"/>
        <n v="28385628"/>
        <n v="48769845"/>
        <n v="39615205"/>
        <n v="29342199"/>
      </sharedItems>
    </cacheField>
    <cacheField name="Budget_Usd" numFmtId="164">
      <sharedItems containsSemiMixedTypes="0" containsString="0" containsNumber="1" containsInteger="1" minValue="10849306" maxValue="171246357" count="751">
        <n v="25221200"/>
        <n v="22952538"/>
        <n v="22648124"/>
        <n v="27141008"/>
        <n v="21108278"/>
        <n v="25647824"/>
        <n v="22774778"/>
        <n v="21037174"/>
        <n v="22934762"/>
        <n v="22532580"/>
        <n v="21814874"/>
        <n v="12036414"/>
        <n v="23054750"/>
        <n v="11110914"/>
        <n v="22492584"/>
        <n v="20048384"/>
        <n v="12583076"/>
        <n v="21603784"/>
        <n v="21614894"/>
        <n v="20872746"/>
        <n v="21088280"/>
        <n v="12727454"/>
        <n v="20570554"/>
        <n v="21152718"/>
        <n v="22103734"/>
        <n v="20386128"/>
        <n v="23285838"/>
        <n v="22588130"/>
        <n v="20581664"/>
        <n v="22554800"/>
        <n v="21781544"/>
        <n v="21821540"/>
        <n v="12858258"/>
        <n v="21874868"/>
        <n v="11488518"/>
        <n v="22341488"/>
        <n v="21499350"/>
        <n v="13855330"/>
        <n v="22839216"/>
        <n v="22079292"/>
        <n v="22843660"/>
        <n v="22330378"/>
        <n v="20448344"/>
        <n v="21965970"/>
        <n v="21277150"/>
        <n v="30125154"/>
        <n v="20406126"/>
        <n v="23130298"/>
        <n v="22559244"/>
        <n v="20937184"/>
        <n v="23903554"/>
        <n v="22488140"/>
        <n v="20621660"/>
        <n v="22557022"/>
        <n v="24765690"/>
        <n v="23350276"/>
        <n v="22517026"/>
        <n v="11509496"/>
        <n v="166311775"/>
        <n v="23930218"/>
        <n v="23416936"/>
        <n v="22292604"/>
        <n v="20823862"/>
        <n v="11370054"/>
        <n v="21130498"/>
        <n v="164929055"/>
        <n v="21146052"/>
        <n v="21163828"/>
        <n v="26958804"/>
        <n v="23225844"/>
        <n v="23501372"/>
        <n v="21608228"/>
        <n v="42483918"/>
        <n v="12052456"/>
        <n v="21303814"/>
        <n v="23148074"/>
        <n v="21314924"/>
        <n v="21034952"/>
        <n v="11410776"/>
        <n v="22094846"/>
        <n v="23403604"/>
        <n v="21557122"/>
        <n v="20379462"/>
        <n v="24930118"/>
        <n v="22041518"/>
        <n v="13182800"/>
        <n v="20857192"/>
        <n v="22268162"/>
        <n v="24092424"/>
        <n v="21086058"/>
        <n v="23659134"/>
        <n v="21546012"/>
        <n v="22057072"/>
        <n v="20770534"/>
        <n v="22383706"/>
        <n v="21383806"/>
        <n v="21106056"/>
        <n v="25358964"/>
        <n v="20639436"/>
        <n v="25896688"/>
        <n v="23012532"/>
        <n v="21321590"/>
        <n v="22037074"/>
        <n v="23994656"/>
        <n v="22334822"/>
        <n v="24759024"/>
        <n v="21834872"/>
        <n v="21588230"/>
        <n v="20172816"/>
        <n v="21508238"/>
        <n v="22570354"/>
        <n v="11936460"/>
        <n v="22034852"/>
        <n v="20597218"/>
        <n v="23899110"/>
        <n v="21897088"/>
        <n v="20577220"/>
        <n v="13051996"/>
        <n v="21117166"/>
        <n v="21601562"/>
        <n v="22283716"/>
        <n v="22392594"/>
        <n v="23265840"/>
        <n v="23101412"/>
        <n v="160880278"/>
        <n v="171246357"/>
        <n v="163390779"/>
        <n v="24101312"/>
        <n v="170719195"/>
        <n v="23439156"/>
        <n v="12390572"/>
        <n v="168126595"/>
        <n v="22225944"/>
        <n v="21270484"/>
        <n v="21410470"/>
        <n v="12026542"/>
        <n v="27685398"/>
        <n v="22990312"/>
        <n v="22063738"/>
        <n v="21590452"/>
        <n v="21790432"/>
        <n v="21657112"/>
        <n v="21081614"/>
        <n v="20981624"/>
        <n v="22770334"/>
        <n v="12047520"/>
        <n v="21945972"/>
        <n v="22421480"/>
        <n v="22099290"/>
        <n v="21852648"/>
        <n v="22548134"/>
        <n v="23396938"/>
        <n v="22077070"/>
        <n v="21674888"/>
        <n v="21628226"/>
        <n v="24421280"/>
        <n v="22454810"/>
        <n v="20383906"/>
        <n v="23176960"/>
        <n v="22294826"/>
        <n v="23314724"/>
        <n v="22825884"/>
        <n v="24005766"/>
        <n v="21777100"/>
        <n v="22083736"/>
        <n v="21292704"/>
        <n v="22788110"/>
        <n v="23872446"/>
        <n v="22568132"/>
        <n v="21599340"/>
        <n v="11293546"/>
        <n v="21619338"/>
        <n v="22119288"/>
        <n v="22954760"/>
        <n v="22323712"/>
        <n v="11213336"/>
        <n v="21752658"/>
        <n v="11373756"/>
        <n v="21586008"/>
        <n v="21139386"/>
        <n v="22834772"/>
        <n v="21597118"/>
        <n v="22281494"/>
        <n v="23016976"/>
        <n v="22472586"/>
        <n v="22350376"/>
        <n v="23116966"/>
        <n v="21774878"/>
        <n v="21639336"/>
        <n v="11136828"/>
        <n v="11830336"/>
        <n v="11367586"/>
        <n v="24345732"/>
        <n v="23145852"/>
        <n v="20643880"/>
        <n v="20199480"/>
        <n v="21612672"/>
        <n v="21392694"/>
        <n v="21101612"/>
        <n v="12447336"/>
        <n v="23361386"/>
        <n v="21523792"/>
        <n v="24956782"/>
        <n v="12929830"/>
        <n v="22699230"/>
        <n v="12666988"/>
        <n v="24687920"/>
        <n v="21566010"/>
        <n v="11768636"/>
        <n v="21759324"/>
        <n v="21110500"/>
        <n v="21725994"/>
        <n v="21885978"/>
        <n v="23710240"/>
        <n v="48287782"/>
        <n v="13767716"/>
        <n v="21352698"/>
        <n v="21770434"/>
        <n v="21517126"/>
        <n v="11653874"/>
        <n v="21668222"/>
        <n v="21561566"/>
        <n v="21581564"/>
        <n v="22048184"/>
        <n v="20670544"/>
        <n v="23283616"/>
        <n v="11826634"/>
        <n v="22741448"/>
        <n v="22019298"/>
        <n v="21092724"/>
        <n v="11221974"/>
        <n v="27603184"/>
        <n v="12068498"/>
        <n v="21863758"/>
        <n v="22241498"/>
        <n v="20652768"/>
        <n v="21861536"/>
        <n v="12258534"/>
        <n v="23921330"/>
        <n v="20672766"/>
        <n v="20599440"/>
        <n v="25454510"/>
        <n v="21119388"/>
        <n v="20821640"/>
        <n v="22901432"/>
        <n v="21261596"/>
        <n v="24841238"/>
        <n v="20930518"/>
        <n v="23496928"/>
        <n v="21357142"/>
        <n v="11824166"/>
        <n v="11407074"/>
        <n v="23379162"/>
        <n v="23479152"/>
        <n v="21528236"/>
        <n v="24052428"/>
        <n v="22890322"/>
        <n v="21370474"/>
        <n v="22325934"/>
        <n v="23339166"/>
        <n v="11556388"/>
        <n v="22779222"/>
        <n v="21828206"/>
        <n v="22856992"/>
        <n v="12057392"/>
        <n v="23570254"/>
        <n v="21610450"/>
        <n v="25556722"/>
        <n v="20910520"/>
        <n v="20870524"/>
        <n v="21463798"/>
        <n v="21583786"/>
        <n v="22670344"/>
        <n v="21810430"/>
        <n v="23892444"/>
        <n v="23112522"/>
        <n v="21552678"/>
        <n v="22474808"/>
        <n v="24419058"/>
        <n v="20888300"/>
        <n v="21626004"/>
        <n v="11763700"/>
        <n v="22970314"/>
        <n v="19875068"/>
        <n v="22705896"/>
        <n v="24925674"/>
        <n v="22692564"/>
        <n v="11122020"/>
        <n v="19912842"/>
        <n v="10998620"/>
        <n v="21803764"/>
        <n v="24214634"/>
        <n v="20861636"/>
        <n v="23452488"/>
        <n v="22623682"/>
        <n v="25341188"/>
        <n v="23443600"/>
        <n v="21992634"/>
        <n v="20601662"/>
        <n v="21057172"/>
        <n v="24319068"/>
        <n v="21908198"/>
        <n v="24499050"/>
        <n v="23052528"/>
        <n v="22365930"/>
        <n v="22363708"/>
        <n v="21830428"/>
        <n v="22717006"/>
        <n v="23376940"/>
        <n v="22054850"/>
        <n v="21326034"/>
        <n v="12310362"/>
        <n v="23272506"/>
        <n v="21308258"/>
        <n v="21570454"/>
        <n v="20343910"/>
        <n v="20630548"/>
        <n v="20712762"/>
        <n v="11541580"/>
        <n v="21823762"/>
        <n v="21912642"/>
        <n v="13171694"/>
        <n v="20410570"/>
        <n v="13787460"/>
        <n v="23699130"/>
        <n v="166277207"/>
        <n v="21252708"/>
        <n v="22563688"/>
        <n v="23788010"/>
        <n v="21943750"/>
        <n v="26461076"/>
        <n v="21312702"/>
        <n v="23236954"/>
        <n v="22879212"/>
        <n v="28347554"/>
        <n v="22272606"/>
        <n v="22721450"/>
        <n v="22374818"/>
        <n v="24259074"/>
        <n v="21797098"/>
        <n v="22479252"/>
        <n v="22499250"/>
        <n v="11656342"/>
        <n v="13925668"/>
        <n v="25796698"/>
        <n v="25930018"/>
        <n v="21659334"/>
        <n v="20690542"/>
        <n v="22139286"/>
        <n v="22228166"/>
        <n v="21323812"/>
        <n v="22012632"/>
        <n v="12010500"/>
        <n v="21632670"/>
        <n v="20894966"/>
        <n v="21294926"/>
        <n v="21290482"/>
        <n v="21799320"/>
        <n v="21568232"/>
        <n v="25558944"/>
        <n v="11616854"/>
        <n v="22657012"/>
        <n v="22605906"/>
        <n v="12045052"/>
        <n v="23774678"/>
        <n v="21825984"/>
        <n v="11392266"/>
        <n v="22285938"/>
        <n v="20854970"/>
        <n v="24090202"/>
        <n v="23088080"/>
        <n v="23488040"/>
        <n v="22010410"/>
        <n v="22314824"/>
        <n v="22114844"/>
        <n v="23001422"/>
        <n v="21812652"/>
        <n v="167996965"/>
        <n v="22261496"/>
        <n v="22134842"/>
        <n v="13912094"/>
        <n v="25523392"/>
        <n v="20119488"/>
        <n v="25852248"/>
        <n v="22212612"/>
        <n v="22332600"/>
        <n v="26249986"/>
        <n v="20921630"/>
        <n v="21788210"/>
        <n v="11379926"/>
        <n v="20906076"/>
        <n v="22972536"/>
        <n v="21512682"/>
        <n v="20372796"/>
        <n v="159264224"/>
        <n v="25136764"/>
        <n v="21801542"/>
        <n v="12568268"/>
        <n v="20803864"/>
        <n v="23381384"/>
        <n v="20850526"/>
        <n v="22143730"/>
        <n v="23245842"/>
        <n v="25578942"/>
        <n v="21501572"/>
        <n v="22192614"/>
        <n v="21841538"/>
        <n v="21850426"/>
        <n v="21134942"/>
        <n v="25445622"/>
        <n v="21174938"/>
        <n v="21221600"/>
        <n v="25547834"/>
        <n v="21650446"/>
        <n v="21068282"/>
        <n v="22868102"/>
        <n v="23414714"/>
        <n v="21334922"/>
        <n v="11924120"/>
        <n v="22601462"/>
        <n v="22790332"/>
        <n v="10849306"/>
        <n v="22572576"/>
        <n v="20819418"/>
        <n v="11331800"/>
        <n v="23834672"/>
        <n v="12802728"/>
        <n v="32200502"/>
        <n v="22812552"/>
        <n v="23750236"/>
        <n v="22432590"/>
        <n v="25594496"/>
        <n v="21999300"/>
        <n v="23294726"/>
        <n v="21948194"/>
        <n v="25345632"/>
        <n v="11405840"/>
        <n v="21063838"/>
        <n v="24059094"/>
        <n v="22594796"/>
        <n v="20879412"/>
        <n v="23590252"/>
        <n v="20834972"/>
        <n v="21768212"/>
        <n v="20650546"/>
        <n v="23214734"/>
        <n v="45988012"/>
        <n v="23165850"/>
        <n v="24145752"/>
        <n v="22303714"/>
        <n v="21723772"/>
        <n v="23881334"/>
        <n v="22765890"/>
        <n v="23312502"/>
        <n v="23572476"/>
        <n v="24847904"/>
        <n v="164838314"/>
        <n v="162790160"/>
        <n v="26501072"/>
        <n v="21028286"/>
        <n v="21661556"/>
        <n v="21592674"/>
        <n v="21148274"/>
        <n v="22045962"/>
        <n v="22348154"/>
        <n v="22370374"/>
        <n v="23985768"/>
        <n v="22552578"/>
        <n v="20841638"/>
        <n v="21359364"/>
        <n v="21621560"/>
        <n v="20363908"/>
        <n v="25223422"/>
        <n v="21143830"/>
        <n v="24083536"/>
        <n v="20663878"/>
        <n v="22290382"/>
        <n v="22265940"/>
        <n v="20843860"/>
        <n v="22959204"/>
        <n v="21637114"/>
        <n v="23916886"/>
        <n v="11852548"/>
        <n v="22610350"/>
        <n v="21348254"/>
        <n v="12199302"/>
        <n v="21070504"/>
        <n v="20619438"/>
        <n v="21279372"/>
        <n v="21103834"/>
        <n v="21930418"/>
        <n v="12621330"/>
        <n v="22541468"/>
        <n v="21350476"/>
        <n v="25390072"/>
        <n v="21074948"/>
        <n v="12499164"/>
        <n v="21839316"/>
        <n v="21819318"/>
        <n v="13348156"/>
        <n v="13936774"/>
        <n v="20135042"/>
        <n v="22301492"/>
        <n v="25570054"/>
        <n v="20786088"/>
        <n v="22794776"/>
        <n v="23174738"/>
        <n v="22059294"/>
        <n v="25703374"/>
        <n v="23661356"/>
        <n v="22585908"/>
        <n v="24030208"/>
        <n v="20526114"/>
        <n v="11779742"/>
        <n v="21817096"/>
        <n v="23785788"/>
        <n v="25118988"/>
        <n v="11817996"/>
        <n v="20877190"/>
        <n v="22494806"/>
        <n v="22665900"/>
        <n v="20952738"/>
        <n v="23476930"/>
        <n v="42479474"/>
        <n v="23041418"/>
        <n v="11578600"/>
        <n v="12982892"/>
        <n v="21537124"/>
        <n v="21010510"/>
        <n v="22168172"/>
        <n v="22003744"/>
        <n v="22085958"/>
        <n v="44614816"/>
        <n v="20997178"/>
        <n v="23201402"/>
        <n v="12490526"/>
        <n v="25521170"/>
        <n v="21246042"/>
        <n v="26589952"/>
        <n v="27460976"/>
        <n v="21543790"/>
        <n v="11798252"/>
        <n v="22592574"/>
        <n v="21050506"/>
        <n v="21112722"/>
        <n v="22232610"/>
        <n v="22437034"/>
        <n v="21161606"/>
        <n v="12148708"/>
        <n v="22754780"/>
        <n v="20874968"/>
        <n v="25296748"/>
        <n v="22821440"/>
        <n v="28385328"/>
        <n v="21794876"/>
        <n v="24707918"/>
        <n v="22021520"/>
        <n v="21094946"/>
        <n v="21368252"/>
        <n v="22703674"/>
        <n v="21310480"/>
        <n v="20881634"/>
        <n v="22305936"/>
        <n v="29429668"/>
        <n v="21123832"/>
        <n v="26858814"/>
        <n v="23561366"/>
        <n v="21319368"/>
        <n v="22308158"/>
        <n v="19970614"/>
        <n v="11676086"/>
        <n v="20808308"/>
        <n v="23034752"/>
        <n v="22148174"/>
        <n v="19972836"/>
        <n v="23119188"/>
        <n v="23432490"/>
        <n v="21339366"/>
        <n v="20608328"/>
        <n v="28496428"/>
        <n v="21157162"/>
        <n v="28534202"/>
        <n v="21763768"/>
        <n v="23061416"/>
        <n v="11926588"/>
        <n v="166709307"/>
        <n v="21563788"/>
        <n v="23288060"/>
        <n v="22490362"/>
        <n v="21097168"/>
        <n v="23232510"/>
        <n v="23370274"/>
        <n v="25021220"/>
        <n v="12342446"/>
        <n v="22772556"/>
        <n v="24050206"/>
        <n v="21301592"/>
        <n v="22992534"/>
        <n v="20368352"/>
        <n v="21494906"/>
        <n v="21132720"/>
        <n v="22565910"/>
        <n v="23927996"/>
        <n v="21548234"/>
        <n v="22234832"/>
        <n v="22757002"/>
        <n v="22243720"/>
        <n v="12501632"/>
        <n v="11440392"/>
        <n v="22219278"/>
        <n v="20335022"/>
        <n v="23761346"/>
        <n v="22583686"/>
        <n v="22503694"/>
        <n v="21363808"/>
        <n v="24163528"/>
        <n v="12990296"/>
        <n v="23856892"/>
        <n v="21832650"/>
        <n v="22065960"/>
        <n v="22525914"/>
        <n v="25441178"/>
        <n v="22257052"/>
        <n v="12741028"/>
        <n v="164354362"/>
        <n v="27343210"/>
        <n v="22968092"/>
        <n v="24927896"/>
        <n v="24192414"/>
        <n v="21428246"/>
        <n v="21997078"/>
        <n v="166804369"/>
        <n v="24334622"/>
        <n v="25456732"/>
        <n v="29205246"/>
        <n v="26007788"/>
        <n v="11133126"/>
        <n v="22739226"/>
        <n v="23523592"/>
        <n v="21317146"/>
        <n v="21343810"/>
        <n v="20846082"/>
        <n v="23048084"/>
        <n v="23170294"/>
        <n v="23410270"/>
        <n v="23383606"/>
        <n v="163196334"/>
        <n v="21854870"/>
        <n v="22932540"/>
        <n v="11803188"/>
        <n v="11797018"/>
        <n v="20359464"/>
        <n v="23081414"/>
        <n v="22697008"/>
        <n v="44652590"/>
        <n v="22439256"/>
        <n v="164099423"/>
        <n v="22217056"/>
        <n v="22625904"/>
        <n v="11655108"/>
        <n v="13771418"/>
        <n v="12848386"/>
        <n v="25621160"/>
        <n v="25854470"/>
        <n v="24283516"/>
        <n v="11644002"/>
        <n v="11235548"/>
        <n v="23188070"/>
        <n v="21043840"/>
        <n v="22928096"/>
        <n v="22910320"/>
        <n v="21617116"/>
        <n v="21066060"/>
        <n v="22279272"/>
        <n v="22070404"/>
        <n v="22072626"/>
        <n v="22354820"/>
        <n v="11787146"/>
        <n v="26114444"/>
        <n v="12210408"/>
        <n v="23781344"/>
        <n v="25901132"/>
        <n v="24121310"/>
        <n v="24381284"/>
        <n v="22816996"/>
        <n v="24472386"/>
        <n v="12222748"/>
        <n v="24287960"/>
        <n v="22023742"/>
        <n v="23323612"/>
        <n v="20557222"/>
        <n v="23674688"/>
        <n v="23192514"/>
        <n v="20610550"/>
        <n v="20632770"/>
        <n v="20390572"/>
        <n v="21783766"/>
        <n v="21679332"/>
        <n v="10976408"/>
        <n v="23999100"/>
        <n v="24694586"/>
        <n v="21670444"/>
        <n v="11244186"/>
        <n v="23512482"/>
        <n v="161333983"/>
        <n v="21530458"/>
        <n v="161225958"/>
        <n v="22090402"/>
        <n v="22068182"/>
        <n v="20934962"/>
        <n v="21843760"/>
        <n v="25858914"/>
        <n v="11651406"/>
        <n v="14029324"/>
        <n v="163485841"/>
        <n v="20637214"/>
        <n v="22188170"/>
        <n v="26874368"/>
        <n v="12009266"/>
        <n v="20586108"/>
        <n v="23074748"/>
        <n v="23465820"/>
        <n v="24290182"/>
        <n v="21366030"/>
        <n v="11873526"/>
        <n v="21121610"/>
        <n v="11626726"/>
        <n v="11645236"/>
        <n v="22628126"/>
        <n v="24303514"/>
        <n v="12046286"/>
        <n v="22510360"/>
        <n v="22996978"/>
        <n v="21299370"/>
        <n v="21459354"/>
        <n v="23483596"/>
        <n v="22994756"/>
        <n v="24550156"/>
        <n v="23070304"/>
        <n v="21808208"/>
        <n v="12256066"/>
        <n v="23063638"/>
        <n v="20868302"/>
        <n v="20890522"/>
        <n v="11630428"/>
        <n v="20790532"/>
        <n v="23212512"/>
        <n v="21923752"/>
        <n v="13280286"/>
        <n v="11246654"/>
        <n v="22561466"/>
      </sharedItems>
    </cacheField>
    <cacheField name="Director" numFmtId="0">
      <sharedItems containsBlank="1"/>
    </cacheField>
    <cacheField name="Production_Company" numFmtId="0">
      <sharedItems/>
    </cacheField>
    <cacheField name="Content_Rating" numFmtId="0">
      <sharedItems/>
    </cacheField>
    <cacheField name="Adult or Kid" numFmtId="0">
      <sharedItems/>
    </cacheField>
    <cacheField name="Field1" numFmtId="0" formula="Box_Office_Collection -Budget_Usd" databaseField="0"/>
  </cacheFields>
  <extLst>
    <ext xmlns:x14="http://schemas.microsoft.com/office/spreadsheetml/2009/9/main" uri="{725AE2AE-9491-48be-B2B4-4EB974FC3084}">
      <x14:pivotCacheDefinition pivotCacheId="193034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6">
  <r>
    <s v="The Super Mario Galaxy Movie"/>
    <x v="0"/>
    <s v="April"/>
    <x v="0"/>
    <n v="7.3"/>
    <s v="Watch"/>
    <s v="Good"/>
    <s v="Good"/>
    <n v="115"/>
    <m/>
    <x v="0"/>
    <x v="0"/>
    <s v="Aaron Horvath,Michael Jelenic"/>
    <s v="Universal Pictures/Illumination/Nintendo"/>
    <s v="PG-13"/>
    <s v="Kid"/>
  </r>
  <r>
    <s v="Sniper: No Nation"/>
    <x v="0"/>
    <s v="April"/>
    <x v="1"/>
    <n v="7.5"/>
    <s v="Watch"/>
    <s v="Good"/>
    <s v="Good"/>
    <n v="144"/>
    <m/>
    <x v="1"/>
    <x v="1"/>
    <s v="Trevor Calverly"/>
    <s v="Sony Pictures Home Entertainment/Destination Films"/>
    <s v="PG-13"/>
    <s v="Kid"/>
  </r>
  <r>
    <s v="You, Me &amp; Tuscany"/>
    <x v="0"/>
    <s v="April"/>
    <x v="1"/>
    <n v="7"/>
    <s v="Watch"/>
    <s v="Avg"/>
    <s v="Good"/>
    <n v="157"/>
    <m/>
    <x v="2"/>
    <x v="2"/>
    <s v="Kat Coiro"/>
    <s v="Universal Pictures/Will Packer Productions"/>
    <s v="PG-13"/>
    <s v="Kid"/>
  </r>
  <r>
    <s v="Tamerlane: Rise of the Last Conqueror"/>
    <x v="0"/>
    <s v="April"/>
    <x v="2"/>
    <n v="7.9"/>
    <s v="Watch"/>
    <s v="Good"/>
    <s v="Good"/>
    <n v="154"/>
    <m/>
    <x v="3"/>
    <x v="3"/>
    <s v="Jacob Schwarz"/>
    <s v="Well Go USA Entertainment"/>
    <s v="PG-13"/>
    <s v="Kid"/>
  </r>
  <r>
    <s v="Balls Up"/>
    <x v="0"/>
    <s v="April"/>
    <x v="3"/>
    <n v="7"/>
    <s v="Watch"/>
    <s v="Avg"/>
    <s v="Good"/>
    <n v="139"/>
    <m/>
    <x v="4"/>
    <x v="4"/>
    <s v="Peter Farrelly"/>
    <s v="Amazon MGM Studios/Skydance Media"/>
    <s v="PG-13"/>
    <s v="Kid"/>
  </r>
  <r>
    <s v="Weekend at the End of the World"/>
    <x v="0"/>
    <s v="April"/>
    <x v="4"/>
    <n v="6.7"/>
    <s v="Watch"/>
    <s v="Avg"/>
    <s v="Avg"/>
    <n v="157"/>
    <m/>
    <x v="5"/>
    <x v="5"/>
    <m/>
    <s v="June Street Productions"/>
    <s v="PG-13"/>
    <s v="Kid"/>
  </r>
  <r>
    <s v="Captain Tsunami"/>
    <x v="0"/>
    <s v="April"/>
    <x v="1"/>
    <n v="6.1"/>
    <s v="Don't Watch"/>
    <s v="Avg"/>
    <s v="Avg"/>
    <n v="139"/>
    <m/>
    <x v="6"/>
    <x v="6"/>
    <s v="Aaron Sherry"/>
    <s v="Persimmon"/>
    <s v="PG-13"/>
    <s v="Kid"/>
  </r>
  <r>
    <s v="Michael"/>
    <x v="0"/>
    <s v="April"/>
    <x v="5"/>
    <n v="7.1"/>
    <s v="Watch"/>
    <s v="Good"/>
    <s v="Good"/>
    <n v="107"/>
    <m/>
    <x v="7"/>
    <x v="7"/>
    <s v="Antoine Fuqua"/>
    <s v="Lionsgate/Universal Pictures/GK Films"/>
    <s v="PG-13"/>
    <s v="Kid"/>
  </r>
  <r>
    <s v="A Great Awakening"/>
    <x v="0"/>
    <s v="April"/>
    <x v="2"/>
    <n v="6.7"/>
    <s v="Watch"/>
    <s v="Avg"/>
    <s v="Avg"/>
    <n v="136"/>
    <m/>
    <x v="8"/>
    <x v="8"/>
    <m/>
    <s v="Roadside Attractions/Sight &amp; Sound Films"/>
    <s v="PG-13"/>
    <s v="Kid"/>
  </r>
  <r>
    <s v="A Love Like This"/>
    <x v="0"/>
    <s v="April"/>
    <x v="6"/>
    <n v="8.4"/>
    <s v="Watch"/>
    <s v="Good"/>
    <s v="Best"/>
    <n v="105"/>
    <m/>
    <x v="9"/>
    <x v="9"/>
    <s v="John Asher"/>
    <s v="Quiver Distribution"/>
    <s v="PG-13"/>
    <s v="Kid"/>
  </r>
  <r>
    <s v="Premarital"/>
    <x v="0"/>
    <s v="April"/>
    <x v="1"/>
    <n v="9.1"/>
    <s v="Watch"/>
    <s v="Best"/>
    <s v="Best"/>
    <n v="157"/>
    <m/>
    <x v="10"/>
    <x v="10"/>
    <m/>
    <s v="Level 33 Entertainment"/>
    <s v="PG-13"/>
    <s v="Kid"/>
  </r>
  <r>
    <s v="Faces of Death"/>
    <x v="0"/>
    <s v="April"/>
    <x v="7"/>
    <n v="6.4"/>
    <s v="Don't Watch"/>
    <s v="Avg"/>
    <s v="Avg"/>
    <n v="136"/>
    <m/>
    <x v="11"/>
    <x v="11"/>
    <m/>
    <s v="Independent Film Company/Shudder/Legendary Pictures/Divide/Conquer/Angry Films"/>
    <s v="R"/>
    <s v="Adult"/>
  </r>
  <r>
    <s v="The Christophers"/>
    <x v="0"/>
    <s v="April"/>
    <x v="2"/>
    <n v="8.8000000000000007"/>
    <s v="Watch"/>
    <s v="Best"/>
    <s v="Best"/>
    <n v="115"/>
    <m/>
    <x v="12"/>
    <x v="12"/>
    <s v="Steven Soderbergh"/>
    <s v="Neon"/>
    <s v="PG-13"/>
    <s v="Kid"/>
  </r>
  <r>
    <s v="Beast"/>
    <x v="0"/>
    <s v="April"/>
    <x v="8"/>
    <n v="7.3"/>
    <s v="Watch"/>
    <s v="Good"/>
    <s v="Good"/>
    <n v="136"/>
    <m/>
    <x v="13"/>
    <x v="13"/>
    <s v="Tyler Atkins"/>
    <s v="Lionsgate/ONE Championship"/>
    <s v="R"/>
    <s v="Adult"/>
  </r>
  <r>
    <s v="Heads or Tails?"/>
    <x v="0"/>
    <s v="April"/>
    <x v="1"/>
    <n v="6.6"/>
    <s v="Watch"/>
    <s v="Avg"/>
    <s v="Avg"/>
    <n v="162"/>
    <m/>
    <x v="14"/>
    <x v="14"/>
    <m/>
    <s v="Samuel Goldwyn Films/Rai Cinema"/>
    <s v="PG-13"/>
    <s v="Kid"/>
  </r>
  <r>
    <s v="PH-1"/>
    <x v="0"/>
    <s v="April"/>
    <x v="1"/>
    <n v="8.8000000000000007"/>
    <s v="Watch"/>
    <s v="Best"/>
    <s v="Best"/>
    <n v="112"/>
    <m/>
    <x v="15"/>
    <x v="15"/>
    <m/>
    <s v="Buffalo 8 / Like Minded Entertainment"/>
    <s v="PG-13"/>
    <s v="Kid"/>
  </r>
  <r>
    <s v="The Highest Stakes"/>
    <x v="0"/>
    <s v="April"/>
    <x v="9"/>
    <n v="7.8"/>
    <s v="Watch"/>
    <s v="Good"/>
    <s v="Good"/>
    <n v="129"/>
    <m/>
    <x v="16"/>
    <x v="16"/>
    <s v="Tony Dean Smith"/>
    <s v="Paramount Global Content Distribution/Republic Pictures"/>
    <s v="R"/>
    <s v="Adult"/>
  </r>
  <r>
    <s v="Thinestra"/>
    <x v="0"/>
    <s v="April"/>
    <x v="4"/>
    <n v="6.2"/>
    <s v="Don't Watch"/>
    <s v="Avg"/>
    <s v="Avg"/>
    <n v="137"/>
    <m/>
    <x v="17"/>
    <x v="17"/>
    <s v="Nathan Hertz"/>
    <s v="Breaking Glass Pictures / Dogplayer"/>
    <s v="PG-13"/>
    <s v="Kid"/>
  </r>
  <r>
    <s v="Roommates"/>
    <x v="0"/>
    <s v="April"/>
    <x v="10"/>
    <n v="6.7"/>
    <s v="Watch"/>
    <s v="Avg"/>
    <s v="Avg"/>
    <n v="142"/>
    <m/>
    <x v="18"/>
    <x v="18"/>
    <s v="Chandler Levack"/>
    <s v="Netflix/Happy Madison Productions"/>
    <s v="PG-13"/>
    <s v="Kid"/>
  </r>
  <r>
    <s v="Normal"/>
    <x v="0"/>
    <s v="April"/>
    <x v="11"/>
    <n v="6.3"/>
    <s v="Don't Watch"/>
    <s v="Avg"/>
    <s v="Avg"/>
    <n v="108"/>
    <m/>
    <x v="19"/>
    <x v="19"/>
    <s v="Ben Wheatley"/>
    <s v="Magnolia Pictures"/>
    <s v="PG-13"/>
    <s v="Kid"/>
  </r>
  <r>
    <s v="Erupcja"/>
    <x v="0"/>
    <s v="April"/>
    <x v="12"/>
    <n v="6.1"/>
    <s v="Don't Watch"/>
    <s v="Avg"/>
    <s v="Avg"/>
    <n v="130"/>
    <m/>
    <x v="20"/>
    <x v="20"/>
    <m/>
    <s v="1-2 Special/ Spartan Media Acquisitions"/>
    <s v="PG-13"/>
    <s v="Kid"/>
  </r>
  <r>
    <s v="Brothers Under Fire"/>
    <x v="0"/>
    <s v="April"/>
    <x v="8"/>
    <n v="6.3"/>
    <s v="Don't Watch"/>
    <s v="Avg"/>
    <s v="Avg"/>
    <n v="96"/>
    <m/>
    <x v="21"/>
    <x v="21"/>
    <s v="Justin Chadwick"/>
    <s v="Vertical"/>
    <s v="R"/>
    <s v="Adult"/>
  </r>
  <r>
    <s v="Mabel"/>
    <x v="0"/>
    <s v="April"/>
    <x v="13"/>
    <n v="9.1999999999999993"/>
    <s v="Watch"/>
    <s v="Best"/>
    <s v="Best"/>
    <n v="122"/>
    <m/>
    <x v="22"/>
    <x v="22"/>
    <m/>
    <s v="Tribeca Releasing / AgX / Wavelength"/>
    <s v="PG-13"/>
    <s v="Kid"/>
  </r>
  <r>
    <s v="Busboys"/>
    <x v="0"/>
    <s v="April"/>
    <x v="3"/>
    <n v="9"/>
    <s v="Watch"/>
    <s v="Best"/>
    <s v="Best"/>
    <n v="159"/>
    <m/>
    <x v="23"/>
    <x v="23"/>
    <s v="Jonah Feingold"/>
    <s v="Night"/>
    <s v="PG-13"/>
    <s v="Kid"/>
  </r>
  <r>
    <s v="The Whistler"/>
    <x v="0"/>
    <s v="April"/>
    <x v="1"/>
    <n v="8.9"/>
    <s v="Watch"/>
    <s v="Best"/>
    <s v="Best"/>
    <n v="137"/>
    <m/>
    <x v="24"/>
    <x v="24"/>
    <s v="Diego Velasco"/>
    <s v="Vertical/Hideout Pictures"/>
    <s v="PG-13"/>
    <s v="Kid"/>
  </r>
  <r>
    <s v="Apex"/>
    <x v="0"/>
    <s v="April"/>
    <x v="1"/>
    <n v="7.5"/>
    <s v="Watch"/>
    <s v="Good"/>
    <s v="Good"/>
    <n v="114"/>
    <m/>
    <x v="25"/>
    <x v="25"/>
    <s v="Baltasar Kormákur"/>
    <s v="Netflix/Chernin Entertainment/Denver and Delilah Productions/RVK Studios"/>
    <s v="PG-13"/>
    <s v="Kid"/>
  </r>
  <r>
    <s v="Over Your Dead Body"/>
    <x v="0"/>
    <s v="April"/>
    <x v="3"/>
    <n v="6"/>
    <s v="Don't Watch"/>
    <s v="Avg"/>
    <s v="Avg"/>
    <n v="144"/>
    <m/>
    <x v="26"/>
    <x v="26"/>
    <s v="Jorma Taccone"/>
    <s v="Independent Film Company/87North Productions/XYZ Films"/>
    <s v="PG-13"/>
    <s v="Kid"/>
  </r>
  <r>
    <s v="Desert Warrior"/>
    <x v="0"/>
    <s v="April"/>
    <x v="2"/>
    <n v="7.6"/>
    <s v="Watch"/>
    <s v="Good"/>
    <s v="Good"/>
    <n v="130"/>
    <m/>
    <x v="27"/>
    <x v="27"/>
    <m/>
    <s v="Vertical/MBC Studios/AGC Studios"/>
    <s v="PG-13"/>
    <s v="Kid"/>
  </r>
  <r>
    <s v="Omaha"/>
    <x v="0"/>
    <s v="April"/>
    <x v="1"/>
    <n v="6.4"/>
    <s v="Don't Watch"/>
    <s v="Avg"/>
    <s v="Avg"/>
    <n v="127"/>
    <m/>
    <x v="28"/>
    <x v="28"/>
    <s v="Cole Webley"/>
    <s v="Greenwich Entertainment"/>
    <s v="PG-13"/>
    <s v="Kid"/>
  </r>
  <r>
    <s v="Original Sound"/>
    <x v="0"/>
    <s v="April"/>
    <x v="12"/>
    <n v="6.1"/>
    <s v="Don't Watch"/>
    <s v="Avg"/>
    <s v="Avg"/>
    <n v="115"/>
    <m/>
    <x v="29"/>
    <x v="29"/>
    <s v="Gregory Jbara"/>
    <s v="Cromono International"/>
    <s v="PG-13"/>
    <s v="Kid"/>
  </r>
  <r>
    <s v="Broken Bird"/>
    <x v="0"/>
    <s v="April"/>
    <x v="4"/>
    <n v="7.6"/>
    <s v="Watch"/>
    <s v="Good"/>
    <s v="Good"/>
    <n v="142"/>
    <m/>
    <x v="30"/>
    <x v="30"/>
    <m/>
    <s v="Catalyst Studios"/>
    <s v="PG-13"/>
    <s v="Kid"/>
  </r>
  <r>
    <s v="Saturnalia"/>
    <x v="0"/>
    <s v="April"/>
    <x v="12"/>
    <n v="6.1"/>
    <s v="Don't Watch"/>
    <s v="Avg"/>
    <s v="Avg"/>
    <n v="160"/>
    <m/>
    <x v="31"/>
    <x v="31"/>
    <m/>
    <s v="Terror Films / Gearhead Camera"/>
    <s v="PG-13"/>
    <s v="Kid"/>
  </r>
  <r>
    <s v="Frankie, Maniac Woman"/>
    <x v="0"/>
    <s v="April"/>
    <x v="7"/>
    <n v="7"/>
    <s v="Watch"/>
    <s v="Avg"/>
    <s v="Good"/>
    <n v="127"/>
    <m/>
    <x v="32"/>
    <x v="32"/>
    <m/>
    <s v="Two Witches Films / The Rancon Company"/>
    <s v="R"/>
    <s v="Adult"/>
  </r>
  <r>
    <s v="His Monster"/>
    <x v="0"/>
    <s v="April"/>
    <x v="13"/>
    <n v="8.5"/>
    <s v="Watch"/>
    <s v="Good"/>
    <s v="Best"/>
    <n v="109"/>
    <m/>
    <x v="33"/>
    <x v="33"/>
    <m/>
    <s v="Compassionate Disaster Films"/>
    <s v="PG-13"/>
    <s v="Kid"/>
  </r>
  <r>
    <s v="Soulm8te"/>
    <x v="0"/>
    <s v="August"/>
    <x v="7"/>
    <n v="8.1999999999999993"/>
    <s v="Watch"/>
    <s v="Good"/>
    <s v="Best"/>
    <n v="142"/>
    <m/>
    <x v="34"/>
    <x v="34"/>
    <m/>
    <s v="Universal Pictures Home Entertainment/Blumhouse Productions/Atomic Monster"/>
    <s v="R"/>
    <s v="Adult"/>
  </r>
  <r>
    <s v="One Night Only"/>
    <x v="0"/>
    <s v="August"/>
    <x v="1"/>
    <n v="6.4"/>
    <s v="Don't Watch"/>
    <s v="Avg"/>
    <s v="Avg"/>
    <n v="94"/>
    <m/>
    <x v="35"/>
    <x v="35"/>
    <m/>
    <s v="Universal Pictures/Olive Bridge Entertainment"/>
    <s v="PG-13"/>
    <s v="Kid"/>
  </r>
  <r>
    <s v="Camp Rock 3"/>
    <x v="0"/>
    <s v="August"/>
    <x v="6"/>
    <n v="8.1"/>
    <s v="Watch"/>
    <s v="Good"/>
    <s v="Best"/>
    <n v="90"/>
    <m/>
    <x v="36"/>
    <x v="36"/>
    <s v="Veronica Rodriguez"/>
    <s v="Disney+/Disney Channel"/>
    <s v="PG-13"/>
    <s v="Kid"/>
  </r>
  <r>
    <s v="Insidious: Out of the Further"/>
    <x v="0"/>
    <s v="August"/>
    <x v="7"/>
    <n v="8.6"/>
    <s v="Watch"/>
    <s v="Best"/>
    <s v="Best"/>
    <n v="110"/>
    <m/>
    <x v="37"/>
    <x v="37"/>
    <m/>
    <s v="Screen Gems/Stage 6 Films/Blumhouse Productions/Atomic Monster"/>
    <s v="R"/>
    <s v="Adult"/>
  </r>
  <r>
    <s v="The Last Sunrise"/>
    <x v="0"/>
    <s v="August"/>
    <x v="1"/>
    <n v="9"/>
    <s v="Watch"/>
    <s v="Best"/>
    <s v="Best"/>
    <n v="93"/>
    <m/>
    <x v="38"/>
    <x v="38"/>
    <s v="Carlson Young"/>
    <s v="Amazon MGM Studios"/>
    <s v="PG-13"/>
    <s v="Kid"/>
  </r>
  <r>
    <s v="The Dog Stars"/>
    <x v="0"/>
    <s v="August"/>
    <x v="5"/>
    <n v="7.8"/>
    <s v="Watch"/>
    <s v="Good"/>
    <s v="Good"/>
    <n v="126"/>
    <m/>
    <x v="39"/>
    <x v="39"/>
    <s v="Ridley Scott"/>
    <s v="20th Century Studios/Scott Free Productions"/>
    <s v="PG-13"/>
    <s v="Kid"/>
  </r>
  <r>
    <s v="Super Troopers 3"/>
    <x v="0"/>
    <s v="August"/>
    <x v="12"/>
    <n v="9.1999999999999993"/>
    <s v="Watch"/>
    <s v="Best"/>
    <s v="Best"/>
    <n v="95"/>
    <m/>
    <x v="40"/>
    <x v="40"/>
    <s v="Jay Chandrasekhar"/>
    <s v="Searchlight Pictures/Broken Lizard Industries"/>
    <s v="PG-13"/>
    <s v="Kid"/>
  </r>
  <r>
    <s v="The Last House"/>
    <x v="0"/>
    <s v="August"/>
    <x v="1"/>
    <n v="9.1999999999999993"/>
    <s v="Watch"/>
    <s v="Best"/>
    <s v="Best"/>
    <n v="164"/>
    <m/>
    <x v="41"/>
    <x v="41"/>
    <s v="Louis Leterrier"/>
    <s v="Netflix/Chernin Entertainment/3 Arts Entertainment"/>
    <s v="PG-13"/>
    <s v="Kid"/>
  </r>
  <r>
    <s v="Tony"/>
    <x v="0"/>
    <s v="August"/>
    <x v="4"/>
    <n v="7"/>
    <s v="Watch"/>
    <s v="Avg"/>
    <s v="Good"/>
    <n v="142"/>
    <m/>
    <x v="42"/>
    <x v="42"/>
    <m/>
    <s v="A24"/>
    <s v="PG-13"/>
    <s v="Kid"/>
  </r>
  <r>
    <s v="Ice Cream Man"/>
    <x v="0"/>
    <s v="August"/>
    <x v="6"/>
    <n v="6"/>
    <s v="Don't Watch"/>
    <s v="Avg"/>
    <s v="Avg"/>
    <n v="150"/>
    <m/>
    <x v="43"/>
    <x v="43"/>
    <m/>
    <s v="Iconic Events"/>
    <s v="PG-13"/>
    <s v="Kid"/>
  </r>
  <r>
    <s v="Late Fame"/>
    <x v="0"/>
    <s v="August"/>
    <x v="14"/>
    <n v="8"/>
    <s v="Watch"/>
    <s v="Good"/>
    <s v="Good"/>
    <n v="140"/>
    <m/>
    <x v="44"/>
    <x v="44"/>
    <s v="Kent Jones"/>
    <s v="Magnolia Pictures/Killer Films"/>
    <s v="PG-13"/>
    <s v="Kid"/>
  </r>
  <r>
    <s v="Attack of the Killer Tomatoes: Organic Intelligence"/>
    <x v="0"/>
    <s v="August"/>
    <x v="1"/>
    <n v="6.9"/>
    <s v="Watch"/>
    <s v="Avg"/>
    <s v="Avg"/>
    <n v="147"/>
    <m/>
    <x v="45"/>
    <x v="45"/>
    <s v="David Ferino"/>
    <s v="Anchor Bay Entertainment"/>
    <s v="PG-13"/>
    <s v="Kid"/>
  </r>
  <r>
    <s v="Olmo"/>
    <x v="0"/>
    <s v="August"/>
    <x v="1"/>
    <n v="8.4"/>
    <s v="Watch"/>
    <s v="Good"/>
    <s v="Best"/>
    <n v="123"/>
    <m/>
    <x v="46"/>
    <x v="46"/>
    <m/>
    <s v="Greenwich Entertainment/Plan B Entertainment"/>
    <s v="PG-13"/>
    <s v="Kid"/>
  </r>
  <r>
    <s v="Don't Say Good Luck"/>
    <x v="0"/>
    <s v="August"/>
    <x v="3"/>
    <n v="8.9"/>
    <s v="Watch"/>
    <s v="Best"/>
    <s v="Best"/>
    <n v="149"/>
    <m/>
    <x v="47"/>
    <x v="47"/>
    <m/>
    <s v="Netflix/Happy Madison Productions"/>
    <s v="PG-13"/>
    <s v="Kid"/>
  </r>
  <r>
    <s v="All Night Wrong"/>
    <x v="0"/>
    <s v="August"/>
    <x v="4"/>
    <n v="6.3"/>
    <s v="Don't Watch"/>
    <s v="Avg"/>
    <s v="Avg"/>
    <n v="117"/>
    <m/>
    <x v="48"/>
    <x v="48"/>
    <s v="Jason James"/>
    <s v="Voltage Pictures"/>
    <s v="PG-13"/>
    <s v="Kid"/>
  </r>
  <r>
    <s v="Mutiny"/>
    <x v="0"/>
    <s v="August"/>
    <x v="4"/>
    <n v="9.1999999999999993"/>
    <s v="Watch"/>
    <s v="Best"/>
    <s v="Best"/>
    <n v="137"/>
    <m/>
    <x v="49"/>
    <x v="49"/>
    <s v="Jean-François Richet"/>
    <s v="Lionsgate/MadRiver Pictures/Punch Palace Productions"/>
    <s v="PG-13"/>
    <s v="Kid"/>
  </r>
  <r>
    <s v="The Magic Faraway Tree"/>
    <x v="0"/>
    <s v="August"/>
    <x v="15"/>
    <n v="7.4"/>
    <s v="Watch"/>
    <s v="Good"/>
    <s v="Good"/>
    <n v="122"/>
    <m/>
    <x v="50"/>
    <x v="50"/>
    <s v="Ben Gregor"/>
    <s v="Vertical/Neal Street Productions"/>
    <s v="PG-13"/>
    <s v="Kid"/>
  </r>
  <r>
    <s v="Coyote vs. Acme"/>
    <x v="0"/>
    <s v="August"/>
    <x v="0"/>
    <n v="6.4"/>
    <s v="Don't Watch"/>
    <s v="Avg"/>
    <s v="Avg"/>
    <n v="160"/>
    <m/>
    <x v="51"/>
    <x v="51"/>
    <s v="Dave Green"/>
    <s v="Ketchup Entertainment/Warner Bros. Pictures/Warner Animation Group"/>
    <s v="PG-13"/>
    <s v="Kid"/>
  </r>
  <r>
    <s v="Buddy"/>
    <x v="0"/>
    <s v="August"/>
    <x v="2"/>
    <n v="8.1999999999999993"/>
    <s v="Watch"/>
    <s v="Good"/>
    <s v="Best"/>
    <n v="145"/>
    <m/>
    <x v="52"/>
    <x v="52"/>
    <m/>
    <s v="Roadside Attractions/Saban Films"/>
    <s v="PG-13"/>
    <s v="Kid"/>
  </r>
  <r>
    <s v="The Whisper Man"/>
    <x v="0"/>
    <s v="August"/>
    <x v="2"/>
    <n v="6.2"/>
    <s v="Don't Watch"/>
    <s v="Avg"/>
    <s v="Avg"/>
    <n v="116"/>
    <m/>
    <x v="53"/>
    <x v="53"/>
    <s v="James Ashcroft"/>
    <s v="Netflix/AGBO"/>
    <s v="PG-13"/>
    <s v="Kid"/>
  </r>
  <r>
    <s v="Legend of the White Dragon"/>
    <x v="0"/>
    <s v="August"/>
    <x v="1"/>
    <n v="6.6"/>
    <s v="Watch"/>
    <s v="Avg"/>
    <s v="Avg"/>
    <n v="135"/>
    <m/>
    <x v="54"/>
    <x v="54"/>
    <m/>
    <s v="Well Go USA Entertainment"/>
    <s v="PG-13"/>
    <s v="Kid"/>
  </r>
  <r>
    <s v="The Man with the Bag"/>
    <x v="0"/>
    <s v="December"/>
    <x v="2"/>
    <n v="8.9"/>
    <s v="Watch"/>
    <s v="Best"/>
    <s v="Best"/>
    <n v="98"/>
    <m/>
    <x v="55"/>
    <x v="55"/>
    <s v="Adam Shankman"/>
    <s v="Amazon MGM Studios/Grey Matter"/>
    <s v="PG-13"/>
    <s v="Kid"/>
  </r>
  <r>
    <s v="Violent Night 2"/>
    <x v="0"/>
    <s v="December"/>
    <x v="11"/>
    <n v="7.7"/>
    <s v="Watch"/>
    <s v="Good"/>
    <s v="Good"/>
    <n v="98"/>
    <m/>
    <x v="56"/>
    <x v="56"/>
    <s v="Tommy Wirkola"/>
    <s v="Universal Pictures/87North Productions"/>
    <s v="PG-13"/>
    <s v="Kid"/>
  </r>
  <r>
    <s v="Clarissa"/>
    <x v="0"/>
    <s v="December"/>
    <x v="9"/>
    <n v="6.6"/>
    <s v="Watch"/>
    <s v="Avg"/>
    <s v="Avg"/>
    <n v="159"/>
    <m/>
    <x v="57"/>
    <x v="57"/>
    <s v="Arie Esiri,Chuko Esiri"/>
    <s v="Neon"/>
    <s v="R"/>
    <s v="Adult"/>
  </r>
  <r>
    <s v="Avengers: Doomsday"/>
    <x v="0"/>
    <s v="December"/>
    <x v="16"/>
    <n v="7.3"/>
    <s v="Watch"/>
    <s v="Good"/>
    <s v="Good"/>
    <n v="115"/>
    <m/>
    <x v="58"/>
    <x v="58"/>
    <s v="Anthony Russo and Joe Russo"/>
    <s v="Marvel Studios/AGBO"/>
    <s v="PG-13"/>
    <s v="Kid"/>
  </r>
  <r>
    <s v="The Angry Birds Movie 3"/>
    <x v="0"/>
    <s v="December"/>
    <x v="0"/>
    <n v="8.6"/>
    <s v="Watch"/>
    <s v="Best"/>
    <s v="Best"/>
    <n v="134"/>
    <m/>
    <x v="59"/>
    <x v="59"/>
    <s v="John Rice"/>
    <s v="Paramount Pictures/Sega Sammy Group/Rovio Animation/Prime Focus Studios/One Cool Group/Dentsu"/>
    <s v="PG-13"/>
    <s v="Kid"/>
  </r>
  <r>
    <s v="Jumanji: Open World"/>
    <x v="0"/>
    <s v="December"/>
    <x v="1"/>
    <n v="8.6"/>
    <s v="Watch"/>
    <s v="Best"/>
    <s v="Best"/>
    <n v="128"/>
    <m/>
    <x v="60"/>
    <x v="60"/>
    <s v="Jake Kasdan"/>
    <s v="Columbia Pictures/Seven Bucks Productions"/>
    <s v="PG-13"/>
    <s v="Kid"/>
  </r>
  <r>
    <s v="The Gallerist"/>
    <x v="0"/>
    <s v="December"/>
    <x v="2"/>
    <n v="7.5"/>
    <s v="Watch"/>
    <s v="Good"/>
    <s v="Good"/>
    <n v="147"/>
    <m/>
    <x v="61"/>
    <x v="61"/>
    <m/>
    <s v="Roadside Attractions/Vertical/MountainA/Concordia Studio/MRC"/>
    <s v="PG-13"/>
    <s v="Kid"/>
  </r>
  <r>
    <s v="Flavia"/>
    <x v="0"/>
    <s v="December"/>
    <x v="14"/>
    <n v="7.4"/>
    <s v="Watch"/>
    <s v="Good"/>
    <s v="Good"/>
    <n v="161"/>
    <m/>
    <x v="62"/>
    <x v="62"/>
    <s v="Bharat Nalluri"/>
    <s v="Magenta Light Studios"/>
    <s v="PG-13"/>
    <s v="Kid"/>
  </r>
  <r>
    <s v="Zero A. D."/>
    <x v="0"/>
    <s v="December"/>
    <x v="8"/>
    <n v="8.5"/>
    <s v="Watch"/>
    <s v="Good"/>
    <s v="Best"/>
    <n v="121"/>
    <m/>
    <x v="63"/>
    <x v="63"/>
    <s v="Alejandro Gómez Monteverde"/>
    <s v="Angel Studios"/>
    <s v="R"/>
    <s v="Adult"/>
  </r>
  <r>
    <s v="In Waves"/>
    <x v="0"/>
    <s v="December"/>
    <x v="1"/>
    <n v="8"/>
    <s v="Watch"/>
    <s v="Good"/>
    <s v="Good"/>
    <n v="149"/>
    <m/>
    <x v="64"/>
    <x v="64"/>
    <s v="Phuong Mai Nguyen"/>
    <s v="Netflix/Anonymous Content"/>
    <s v="PG-13"/>
    <s v="Kid"/>
  </r>
  <r>
    <s v="Dune: Part Three"/>
    <x v="0"/>
    <s v="December"/>
    <x v="2"/>
    <n v="8.3000000000000007"/>
    <s v="Watch"/>
    <s v="Good"/>
    <s v="Best"/>
    <n v="95"/>
    <m/>
    <x v="65"/>
    <x v="65"/>
    <m/>
    <s v="Warner Bros. Pictures/Legendary Pictures"/>
    <s v="PG-13"/>
    <s v="Kid"/>
  </r>
  <r>
    <s v="Ray Gunn"/>
    <x v="0"/>
    <s v="December"/>
    <x v="0"/>
    <n v="8.6999999999999993"/>
    <s v="Watch"/>
    <s v="Best"/>
    <s v="Best"/>
    <n v="156"/>
    <m/>
    <x v="66"/>
    <x v="66"/>
    <m/>
    <s v="Netflix/Skydance Animation"/>
    <s v="PG-13"/>
    <s v="Kid"/>
  </r>
  <r>
    <s v="Werwulf"/>
    <x v="0"/>
    <s v="December"/>
    <x v="1"/>
    <n v="6.2"/>
    <s v="Don't Watch"/>
    <s v="Avg"/>
    <s v="Avg"/>
    <n v="164"/>
    <m/>
    <x v="67"/>
    <x v="67"/>
    <m/>
    <s v="Focus Features/Working Title Films/Maiden Voyage Pictures"/>
    <s v="PG-13"/>
    <s v="Kid"/>
  </r>
  <r>
    <s v="Mr. Irrelevant: The John Tuggle Story"/>
    <x v="0"/>
    <s v="December"/>
    <x v="5"/>
    <n v="6.3"/>
    <s v="Don't Watch"/>
    <s v="Avg"/>
    <s v="Avg"/>
    <n v="147"/>
    <m/>
    <x v="68"/>
    <x v="68"/>
    <s v="Jonathan Levine"/>
    <s v="Paramount Pictures/Skydance Sports"/>
    <s v="PG-13"/>
    <s v="Kid"/>
  </r>
  <r>
    <s v="Nutmeg &amp; Mistletoe"/>
    <x v="0"/>
    <s v="December"/>
    <x v="1"/>
    <n v="6.6"/>
    <s v="Watch"/>
    <s v="Avg"/>
    <s v="Avg"/>
    <n v="117"/>
    <m/>
    <x v="69"/>
    <x v="69"/>
    <s v="Peter Herro"/>
    <s v="Abyssal Films"/>
    <s v="PG-13"/>
    <s v="Kid"/>
  </r>
  <r>
    <s v="Relationship Goals"/>
    <x v="0"/>
    <s v="February"/>
    <x v="1"/>
    <n v="9.1"/>
    <s v="Watch"/>
    <s v="Best"/>
    <s v="Best"/>
    <n v="91"/>
    <m/>
    <x v="70"/>
    <x v="70"/>
    <s v="Linda Mendoza"/>
    <s v="Amazon MGM Studios/Franklin Entertainment"/>
    <s v="PG-13"/>
    <s v="Kid"/>
  </r>
  <r>
    <s v="Still Hope"/>
    <x v="0"/>
    <s v="February"/>
    <x v="1"/>
    <n v="6.4"/>
    <s v="Don't Watch"/>
    <s v="Avg"/>
    <s v="Avg"/>
    <n v="139"/>
    <m/>
    <x v="71"/>
    <x v="71"/>
    <s v="Richie Johns"/>
    <s v="Fathom Entertainment"/>
    <s v="PG-13"/>
    <s v="Kid"/>
  </r>
  <r>
    <s v="The Strangers – Chapter 3"/>
    <x v="0"/>
    <s v="February"/>
    <x v="1"/>
    <n v="8.6999999999999993"/>
    <s v="Watch"/>
    <s v="Best"/>
    <s v="Best"/>
    <n v="159"/>
    <m/>
    <x v="72"/>
    <x v="72"/>
    <s v="Renny Harlin"/>
    <s v="Lionsgate"/>
    <s v="PG-13"/>
    <s v="Kid"/>
  </r>
  <r>
    <s v="Misdirection"/>
    <x v="0"/>
    <s v="February"/>
    <x v="9"/>
    <n v="7.7"/>
    <s v="Watch"/>
    <s v="Good"/>
    <s v="Good"/>
    <n v="149"/>
    <m/>
    <x v="73"/>
    <x v="73"/>
    <s v="Kevin Lewis"/>
    <s v="Cineverse"/>
    <s v="R"/>
    <s v="Adult"/>
  </r>
  <r>
    <s v="Hellfire"/>
    <x v="0"/>
    <s v="February"/>
    <x v="1"/>
    <n v="9.1999999999999993"/>
    <s v="Watch"/>
    <s v="Best"/>
    <s v="Best"/>
    <n v="152"/>
    <m/>
    <x v="74"/>
    <x v="74"/>
    <s v="Isaac Florentine"/>
    <s v="Saban Films/Diamond Bear Brewing Company"/>
    <s v="PG-13"/>
    <s v="Kid"/>
  </r>
  <r>
    <s v="I Can Only Imagine 2"/>
    <x v="0"/>
    <s v="February"/>
    <x v="2"/>
    <n v="6.4"/>
    <s v="Don't Watch"/>
    <s v="Avg"/>
    <s v="Avg"/>
    <n v="157"/>
    <m/>
    <x v="75"/>
    <x v="75"/>
    <s v="Andrew Erwin"/>
    <s v="Lionsgate/Kingdom Story Company/LD Entertainment/Mission Pictures International"/>
    <s v="PG-13"/>
    <s v="Kid"/>
  </r>
  <r>
    <s v="The Bluff"/>
    <x v="0"/>
    <s v="February"/>
    <x v="4"/>
    <n v="6.4"/>
    <s v="Don't Watch"/>
    <s v="Avg"/>
    <s v="Avg"/>
    <n v="157"/>
    <m/>
    <x v="76"/>
    <x v="76"/>
    <m/>
    <s v="Amazon MGM Studios/AGBO/Cinestar Pictures/Purple Pebble Pictures"/>
    <s v="PG-13"/>
    <s v="Kid"/>
  </r>
  <r>
    <s v="Scream 7"/>
    <x v="0"/>
    <s v="February"/>
    <x v="14"/>
    <n v="7"/>
    <s v="Watch"/>
    <s v="Avg"/>
    <s v="Good"/>
    <n v="106"/>
    <m/>
    <x v="77"/>
    <x v="77"/>
    <m/>
    <s v="Paramount Pictures/Spyglass Media Group"/>
    <s v="PG-13"/>
    <s v="Kid"/>
  </r>
  <r>
    <s v="Solo Mio"/>
    <x v="0"/>
    <s v="February"/>
    <x v="9"/>
    <n v="8.5"/>
    <s v="Watch"/>
    <s v="Good"/>
    <s v="Best"/>
    <n v="154"/>
    <m/>
    <x v="78"/>
    <x v="78"/>
    <s v="Chuck Kinnane, Dan Kinnane"/>
    <s v="Angel Studios/Kinnane Brothers"/>
    <s v="R"/>
    <s v="Adult"/>
  </r>
  <r>
    <s v="Twisted"/>
    <x v="0"/>
    <s v="February"/>
    <x v="5"/>
    <n v="8.6999999999999993"/>
    <s v="Watch"/>
    <s v="Best"/>
    <s v="Best"/>
    <n v="156"/>
    <m/>
    <x v="66"/>
    <x v="66"/>
    <s v="Darren Lynn Bousman"/>
    <s v="Republic Pictures/Twisted Pictures"/>
    <s v="PG-13"/>
    <s v="Kid"/>
  </r>
  <r>
    <s v="The Huntsman"/>
    <x v="0"/>
    <s v="February"/>
    <x v="1"/>
    <n v="8.5"/>
    <s v="Watch"/>
    <s v="Good"/>
    <s v="Best"/>
    <n v="133"/>
    <m/>
    <x v="79"/>
    <x v="79"/>
    <m/>
    <s v="Epic Pictures Group"/>
    <s v="PG-13"/>
    <s v="Kid"/>
  </r>
  <r>
    <s v="F*ck Valentine's Day"/>
    <x v="0"/>
    <s v="February"/>
    <x v="6"/>
    <n v="8"/>
    <s v="Watch"/>
    <s v="Good"/>
    <s v="Good"/>
    <n v="122"/>
    <m/>
    <x v="80"/>
    <x v="80"/>
    <s v="Mark Gantt"/>
    <s v="Gravitas Ventures/Shout! Studios"/>
    <s v="PG-13"/>
    <s v="Kid"/>
  </r>
  <r>
    <s v="Bad Voodoo"/>
    <x v="0"/>
    <s v="February"/>
    <x v="1"/>
    <n v="7.4"/>
    <s v="Watch"/>
    <s v="Good"/>
    <s v="Good"/>
    <n v="116"/>
    <m/>
    <x v="81"/>
    <x v="81"/>
    <s v="Andrew Adler, Andre Hepburn"/>
    <s v="Deskpop Entertainment"/>
    <s v="PG-13"/>
    <s v="Kid"/>
  </r>
  <r>
    <s v="Goat"/>
    <x v="0"/>
    <s v="February"/>
    <x v="15"/>
    <n v="7.2"/>
    <s v="Watch"/>
    <s v="Good"/>
    <s v="Good"/>
    <n v="111"/>
    <m/>
    <x v="82"/>
    <x v="82"/>
    <s v="Tyree Dillihay"/>
    <s v="Columbia Pictures/Sony Pictures Animation/Unanimous Media"/>
    <s v="PG-13"/>
    <s v="Kid"/>
  </r>
  <r>
    <s v="Good Luck, Have Fun, Don't Die"/>
    <x v="0"/>
    <s v="February"/>
    <x v="1"/>
    <n v="7.4"/>
    <s v="Watch"/>
    <s v="Good"/>
    <s v="Good"/>
    <n v="134"/>
    <m/>
    <x v="83"/>
    <x v="83"/>
    <s v="Gore Verbinski"/>
    <s v="Briarcliff Entertainment/3 Arts Entertainment/Blind Wink Productions/Constantin Film"/>
    <s v="PG-13"/>
    <s v="Kid"/>
  </r>
  <r>
    <s v="Cold Storage"/>
    <x v="0"/>
    <s v="February"/>
    <x v="3"/>
    <n v="6.1"/>
    <s v="Don't Watch"/>
    <s v="Avg"/>
    <s v="Avg"/>
    <n v="109"/>
    <m/>
    <x v="84"/>
    <x v="84"/>
    <s v="Jonny Campbell"/>
    <s v="Samuel Goldwyn Films/StudioCanal"/>
    <s v="PG-13"/>
    <s v="Kid"/>
  </r>
  <r>
    <s v="The Mortuary Assistant"/>
    <x v="0"/>
    <s v="February"/>
    <x v="7"/>
    <n v="6.9"/>
    <s v="Watch"/>
    <s v="Avg"/>
    <s v="Avg"/>
    <n v="90"/>
    <m/>
    <x v="85"/>
    <x v="85"/>
    <s v="Jeremiah Kipp"/>
    <s v="Shudder/Epic Pictures Group"/>
    <s v="R"/>
    <s v="Adult"/>
  </r>
  <r>
    <s v="Mimics"/>
    <x v="0"/>
    <s v="February"/>
    <x v="1"/>
    <n v="8.9"/>
    <s v="Watch"/>
    <s v="Best"/>
    <s v="Best"/>
    <n v="101"/>
    <m/>
    <x v="86"/>
    <x v="86"/>
    <s v="Kristoffer Polaha"/>
    <s v="Panoramic Pictures / Nook Lane Entertainment"/>
    <s v="PG-13"/>
    <s v="Kid"/>
  </r>
  <r>
    <s v="Kangaroo Kids"/>
    <x v="0"/>
    <s v="February"/>
    <x v="1"/>
    <n v="6.4"/>
    <s v="Don't Watch"/>
    <s v="Avg"/>
    <s v="Avg"/>
    <n v="136"/>
    <m/>
    <x v="87"/>
    <x v="87"/>
    <m/>
    <s v="Scatena &amp; Rosner Films / Sun Stream Productions"/>
    <s v="PG-13"/>
    <s v="Kid"/>
  </r>
  <r>
    <s v="Psycho Killer"/>
    <x v="0"/>
    <s v="February"/>
    <x v="1"/>
    <n v="9.1999999999999993"/>
    <s v="Watch"/>
    <s v="Best"/>
    <s v="Best"/>
    <n v="164"/>
    <m/>
    <x v="41"/>
    <x v="41"/>
    <s v="Gavin Polone"/>
    <s v="20th Century Studios/Regency Enterprises/Constantin Film/Vertigo Entertainment"/>
    <s v="PG-13"/>
    <s v="Kid"/>
  </r>
  <r>
    <s v="Lazarus: The Awakening"/>
    <x v="0"/>
    <s v="February"/>
    <x v="4"/>
    <n v="6"/>
    <s v="Don't Watch"/>
    <s v="Avg"/>
    <s v="Avg"/>
    <n v="132"/>
    <m/>
    <x v="88"/>
    <x v="88"/>
    <s v="Art Camacho"/>
    <s v="Samuel Goldwyn Films"/>
    <s v="PG-13"/>
    <s v="Kid"/>
  </r>
  <r>
    <s v="One Mile"/>
    <x v="0"/>
    <s v="February"/>
    <x v="1"/>
    <n v="6"/>
    <s v="Don't Watch"/>
    <s v="Avg"/>
    <s v="Avg"/>
    <n v="129"/>
    <m/>
    <x v="89"/>
    <x v="89"/>
    <s v="Adam Davidson"/>
    <s v="Republic Pictures/Kapital Entertainment"/>
    <s v="PG-13"/>
    <s v="Kid"/>
  </r>
  <r>
    <s v="In the Blink of an Eye"/>
    <x v="0"/>
    <s v="February"/>
    <x v="10"/>
    <n v="6.3"/>
    <s v="Don't Watch"/>
    <s v="Avg"/>
    <s v="Avg"/>
    <n v="162"/>
    <m/>
    <x v="90"/>
    <x v="90"/>
    <s v="Andrew Stanton"/>
    <s v="Hulu/Searchlight Pictures"/>
    <s v="PG-13"/>
    <s v="Kid"/>
  </r>
  <r>
    <s v="Undercard"/>
    <x v="0"/>
    <s v="February"/>
    <x v="13"/>
    <n v="6.9"/>
    <s v="Watch"/>
    <s v="Avg"/>
    <s v="Avg"/>
    <n v="111"/>
    <m/>
    <x v="91"/>
    <x v="91"/>
    <m/>
    <s v="Seismic Releasing / Catalyst Studios"/>
    <s v="PG-13"/>
    <s v="Kid"/>
  </r>
  <r>
    <s v="The Napa Boys"/>
    <x v="0"/>
    <s v="February"/>
    <x v="5"/>
    <n v="6.8"/>
    <s v="Watch"/>
    <s v="Avg"/>
    <s v="Avg"/>
    <n v="116"/>
    <m/>
    <x v="92"/>
    <x v="92"/>
    <m/>
    <s v="Magnolia Pictures"/>
    <s v="PG-13"/>
    <s v="Kid"/>
  </r>
  <r>
    <s v="K-Pops!"/>
    <x v="0"/>
    <s v="February"/>
    <x v="1"/>
    <n v="8.3000000000000007"/>
    <s v="Watch"/>
    <s v="Good"/>
    <s v="Best"/>
    <n v="137"/>
    <m/>
    <x v="93"/>
    <x v="93"/>
    <m/>
    <s v="Aura Entertainment / Stampede Ventures"/>
    <s v="PG-13"/>
    <s v="Kid"/>
  </r>
  <r>
    <s v="Matter of Time"/>
    <x v="0"/>
    <s v="February"/>
    <x v="1"/>
    <n v="8.3000000000000007"/>
    <s v="Watch"/>
    <s v="Good"/>
    <s v="Best"/>
    <n v="113"/>
    <m/>
    <x v="94"/>
    <x v="94"/>
    <m/>
    <s v="ArtAffects / Mediajuice Studios"/>
    <s v="PG-13"/>
    <s v="Kid"/>
  </r>
  <r>
    <s v="Noseeums"/>
    <x v="0"/>
    <s v="February"/>
    <x v="5"/>
    <n v="6.2"/>
    <s v="Don't Watch"/>
    <s v="Avg"/>
    <s v="Avg"/>
    <n v="113"/>
    <m/>
    <x v="95"/>
    <x v="95"/>
    <m/>
    <s v="Quiver Distribution"/>
    <s v="PG-13"/>
    <s v="Kid"/>
  </r>
  <r>
    <s v="Primate"/>
    <x v="0"/>
    <s v="January"/>
    <x v="17"/>
    <n v="6.9"/>
    <s v="Watch"/>
    <s v="Avg"/>
    <s v="Avg"/>
    <n v="138"/>
    <m/>
    <x v="96"/>
    <x v="96"/>
    <m/>
    <s v="Paramount Pictures"/>
    <s v="PG-13"/>
    <s v="Kid"/>
  </r>
  <r>
    <s v="28 Years Later: The Bone Temple"/>
    <x v="0"/>
    <s v="January"/>
    <x v="4"/>
    <n v="6.9"/>
    <s v="Watch"/>
    <s v="Avg"/>
    <s v="Avg"/>
    <n v="102"/>
    <m/>
    <x v="97"/>
    <x v="97"/>
    <s v="Nia DaCosta"/>
    <s v="Columbia Pictures/DNA Films"/>
    <s v="PG-13"/>
    <s v="Kid"/>
  </r>
  <r>
    <s v="Mercy"/>
    <x v="0"/>
    <s v="January"/>
    <x v="1"/>
    <n v="9"/>
    <s v="Watch"/>
    <s v="Best"/>
    <s v="Best"/>
    <n v="153"/>
    <m/>
    <x v="98"/>
    <x v="98"/>
    <s v="Timur Bekmambetov"/>
    <s v="Metro-Goldwyn-Mayer/Atlas Entertainment/Bazelevs Company"/>
    <s v="PG-13"/>
    <s v="Kid"/>
  </r>
  <r>
    <s v="Untitled Home Invasion Romance"/>
    <x v="0"/>
    <s v="January"/>
    <x v="6"/>
    <n v="8"/>
    <s v="Watch"/>
    <s v="Good"/>
    <s v="Good"/>
    <n v="119"/>
    <m/>
    <x v="99"/>
    <x v="99"/>
    <s v="Jason Biggs"/>
    <s v="Republic Pictures/Motion Picture Corporation of America"/>
    <s v="PG-13"/>
    <s v="Kid"/>
  </r>
  <r>
    <s v="The Wrecking Crew"/>
    <x v="0"/>
    <s v="January"/>
    <x v="1"/>
    <n v="6.9"/>
    <s v="Watch"/>
    <s v="Avg"/>
    <s v="Avg"/>
    <n v="96"/>
    <m/>
    <x v="100"/>
    <x v="100"/>
    <s v="Ángel Manuel Soto"/>
    <s v="Amazon MGM Studios/6th &amp; Idaho Productions"/>
    <s v="PG-13"/>
    <s v="Kid"/>
  </r>
  <r>
    <s v="Send Help"/>
    <x v="0"/>
    <s v="January"/>
    <x v="1"/>
    <n v="6.7"/>
    <s v="Watch"/>
    <s v="Avg"/>
    <s v="Avg"/>
    <n v="160"/>
    <m/>
    <x v="101"/>
    <x v="101"/>
    <s v="Sam Raimi"/>
    <s v="20th Century Studios"/>
    <s v="PG-13"/>
    <s v="Kid"/>
  </r>
  <r>
    <s v="The Dutchman"/>
    <x v="0"/>
    <s v="January"/>
    <x v="1"/>
    <n v="9.1999999999999993"/>
    <s v="Watch"/>
    <s v="Best"/>
    <s v="Best"/>
    <n v="107"/>
    <m/>
    <x v="102"/>
    <x v="102"/>
    <m/>
    <s v="Rogue Pictures/Washington Square Films"/>
    <s v="PG-13"/>
    <s v="Kid"/>
  </r>
  <r>
    <s v="Greenland 2: Migration"/>
    <x v="0"/>
    <s v="January"/>
    <x v="17"/>
    <n v="8.1999999999999993"/>
    <s v="Watch"/>
    <s v="Good"/>
    <s v="Best"/>
    <n v="163"/>
    <m/>
    <x v="103"/>
    <x v="103"/>
    <s v="Ric Roman Waugh"/>
    <s v="Lionsgate/STXfilms/Thunder Road Films"/>
    <s v="PG-13"/>
    <s v="Kid"/>
  </r>
  <r>
    <s v="Dead Man's Wire"/>
    <x v="0"/>
    <s v="January"/>
    <x v="1"/>
    <n v="6.1"/>
    <s v="Don't Watch"/>
    <s v="Avg"/>
    <s v="Avg"/>
    <n v="91"/>
    <m/>
    <x v="104"/>
    <x v="104"/>
    <s v="Gus Van Sant"/>
    <s v="Row K Entertainment"/>
    <s v="PG-13"/>
    <s v="Kid"/>
  </r>
  <r>
    <s v="People We Meet on Vacation"/>
    <x v="0"/>
    <s v="January"/>
    <x v="1"/>
    <n v="6.3"/>
    <s v="Don't Watch"/>
    <s v="Avg"/>
    <s v="Avg"/>
    <n v="132"/>
    <m/>
    <x v="105"/>
    <x v="105"/>
    <s v="Brett Haley"/>
    <s v="Netflix/3000 Pictures/Temple Hill Entertainment"/>
    <s v="PG-13"/>
    <s v="Kid"/>
  </r>
  <r>
    <s v="Starbright"/>
    <x v="0"/>
    <s v="January"/>
    <x v="1"/>
    <n v="6.7"/>
    <s v="Watch"/>
    <s v="Avg"/>
    <s v="Avg"/>
    <n v="91"/>
    <m/>
    <x v="106"/>
    <x v="106"/>
    <s v="Francesco Lucente"/>
    <s v="Ruby Max Entertainment"/>
    <s v="PG-13"/>
    <s v="Kid"/>
  </r>
  <r>
    <s v="Oscar Shaw"/>
    <x v="0"/>
    <s v="January"/>
    <x v="1"/>
    <n v="8.8000000000000007"/>
    <s v="Watch"/>
    <s v="Best"/>
    <s v="Best"/>
    <n v="130"/>
    <m/>
    <x v="107"/>
    <x v="107"/>
    <s v="R. Ellis Frazier, Justin Nesbitt"/>
    <s v="Samuel Goldwyn Films"/>
    <s v="PG-13"/>
    <s v="Kid"/>
  </r>
  <r>
    <s v="OBEX"/>
    <x v="0"/>
    <s v="January"/>
    <x v="1"/>
    <n v="7.8"/>
    <s v="Watch"/>
    <s v="Good"/>
    <s v="Good"/>
    <n v="93"/>
    <m/>
    <x v="108"/>
    <x v="108"/>
    <m/>
    <s v="Oscilloscope/Cartuna/Ley Line Entertainment"/>
    <s v="PG-13"/>
    <s v="Kid"/>
  </r>
  <r>
    <s v="Death Name"/>
    <x v="0"/>
    <s v="January"/>
    <x v="1"/>
    <n v="8.5"/>
    <s v="Watch"/>
    <s v="Good"/>
    <s v="Best"/>
    <n v="94"/>
    <m/>
    <x v="109"/>
    <x v="109"/>
    <s v="Réi"/>
    <s v="Tubi/MarVista Entertainment"/>
    <s v="PG-13"/>
    <s v="Kid"/>
  </r>
  <r>
    <s v="The Internship"/>
    <x v="0"/>
    <s v="January"/>
    <x v="10"/>
    <n v="6.8"/>
    <s v="Watch"/>
    <s v="Avg"/>
    <s v="Avg"/>
    <n v="122"/>
    <m/>
    <x v="110"/>
    <x v="110"/>
    <s v="James Bamford"/>
    <s v="Paramount Global Content Distribution"/>
    <s v="PG-13"/>
    <s v="Kid"/>
  </r>
  <r>
    <s v="Night Patrol"/>
    <x v="0"/>
    <s v="January"/>
    <x v="7"/>
    <n v="8.1999999999999993"/>
    <s v="Watch"/>
    <s v="Good"/>
    <s v="Best"/>
    <n v="130"/>
    <m/>
    <x v="111"/>
    <x v="111"/>
    <m/>
    <s v="RLJE Films/Shudder"/>
    <s v="R"/>
    <s v="Adult"/>
  </r>
  <r>
    <s v="Killer Whale"/>
    <x v="0"/>
    <s v="January"/>
    <x v="1"/>
    <n v="9.1"/>
    <s v="Watch"/>
    <s v="Best"/>
    <s v="Best"/>
    <n v="106"/>
    <m/>
    <x v="112"/>
    <x v="112"/>
    <m/>
    <s v="Lionsgate/Grindstone Entertainment Group"/>
    <s v="PG-13"/>
    <s v="Kid"/>
  </r>
  <r>
    <s v="Leave"/>
    <x v="0"/>
    <s v="January"/>
    <x v="2"/>
    <n v="7.1"/>
    <s v="Watch"/>
    <s v="Good"/>
    <s v="Good"/>
    <n v="134"/>
    <m/>
    <x v="113"/>
    <x v="113"/>
    <m/>
    <s v="Falling Forward Films"/>
    <s v="PG-13"/>
    <s v="Kid"/>
  </r>
  <r>
    <s v="Return to Silent Hill"/>
    <x v="0"/>
    <s v="January"/>
    <x v="13"/>
    <n v="7.2"/>
    <s v="Watch"/>
    <s v="Good"/>
    <s v="Good"/>
    <n v="120"/>
    <m/>
    <x v="114"/>
    <x v="114"/>
    <m/>
    <s v="Cineverse/Iconic Events Releasing/Davis Films"/>
    <s v="PG-13"/>
    <s v="Kid"/>
  </r>
  <r>
    <s v="H Is for Hawk"/>
    <x v="0"/>
    <s v="January"/>
    <x v="2"/>
    <n v="6.2"/>
    <s v="Don't Watch"/>
    <s v="Avg"/>
    <s v="Avg"/>
    <n v="119"/>
    <m/>
    <x v="115"/>
    <x v="115"/>
    <m/>
    <s v="Roadside Attractions/Film4/Plan B Entertainment"/>
    <s v="PG-13"/>
    <s v="Kid"/>
  </r>
  <r>
    <s v="Clika"/>
    <x v="0"/>
    <s v="January"/>
    <x v="6"/>
    <n v="6.2"/>
    <s v="Don't Watch"/>
    <s v="Avg"/>
    <s v="Avg"/>
    <n v="125"/>
    <m/>
    <x v="116"/>
    <x v="116"/>
    <m/>
    <s v="Columbia Pictures"/>
    <s v="PG-13"/>
    <s v="Kid"/>
  </r>
  <r>
    <s v="The Dreamer Cinderella"/>
    <x v="0"/>
    <s v="January"/>
    <x v="9"/>
    <n v="6.2"/>
    <s v="Don't Watch"/>
    <s v="Avg"/>
    <s v="Avg"/>
    <n v="134"/>
    <m/>
    <x v="117"/>
    <x v="117"/>
    <s v="Alfredo Widman"/>
    <s v="Atlas Distribution Company / Dr. Ruiz Productions"/>
    <s v="R"/>
    <s v="Adult"/>
  </r>
  <r>
    <s v="Shelter"/>
    <x v="0"/>
    <s v="January"/>
    <x v="2"/>
    <n v="7.4"/>
    <s v="Watch"/>
    <s v="Good"/>
    <s v="Good"/>
    <n v="143"/>
    <m/>
    <x v="118"/>
    <x v="118"/>
    <s v="Ric Roman Waugh"/>
    <s v="Black Bear Pictures/Punch Palace Productions"/>
    <s v="PG-13"/>
    <s v="Kid"/>
  </r>
  <r>
    <s v="The Moment"/>
    <x v="0"/>
    <s v="January"/>
    <x v="1"/>
    <n v="6.1"/>
    <s v="Don't Watch"/>
    <s v="Avg"/>
    <s v="Avg"/>
    <n v="136"/>
    <m/>
    <x v="119"/>
    <x v="119"/>
    <m/>
    <s v="A24/2AM"/>
    <s v="PG-13"/>
    <s v="Kid"/>
  </r>
  <r>
    <s v="World Breaker"/>
    <x v="0"/>
    <s v="January"/>
    <x v="1"/>
    <n v="7.1"/>
    <s v="Watch"/>
    <s v="Good"/>
    <s v="Good"/>
    <n v="143"/>
    <m/>
    <x v="120"/>
    <x v="120"/>
    <s v="Brad Anderson"/>
    <s v="Aura Entertainment"/>
    <s v="PG-13"/>
    <s v="Kid"/>
  </r>
  <r>
    <s v="Grizzly Night"/>
    <x v="0"/>
    <s v="January"/>
    <x v="13"/>
    <n v="8.6999999999999993"/>
    <s v="Watch"/>
    <s v="Best"/>
    <s v="Best"/>
    <n v="117"/>
    <m/>
    <x v="121"/>
    <x v="121"/>
    <s v="Burke Doeren"/>
    <s v="Saban Films"/>
    <s v="PG-13"/>
    <s v="Kid"/>
  </r>
  <r>
    <s v="Minions &amp; Monsters"/>
    <x v="0"/>
    <s v="July"/>
    <x v="0"/>
    <n v="8.4"/>
    <s v="Watch"/>
    <s v="Good"/>
    <s v="Best"/>
    <n v="135"/>
    <m/>
    <x v="122"/>
    <x v="122"/>
    <m/>
    <s v="Universal Pictures/Illumination"/>
    <s v="PG-13"/>
    <s v="Kid"/>
  </r>
  <r>
    <s v="Young Washington"/>
    <x v="0"/>
    <s v="July"/>
    <x v="5"/>
    <n v="7.6"/>
    <s v="Watch"/>
    <s v="Good"/>
    <s v="Good"/>
    <n v="136"/>
    <m/>
    <x v="123"/>
    <x v="123"/>
    <m/>
    <s v="Angel Studios/Wonder Project"/>
    <s v="PG-13"/>
    <s v="Kid"/>
  </r>
  <r>
    <s v="Moana"/>
    <x v="0"/>
    <s v="July"/>
    <x v="0"/>
    <n v="7"/>
    <s v="Watch"/>
    <s v="Avg"/>
    <s v="Good"/>
    <n v="133"/>
    <m/>
    <x v="124"/>
    <x v="124"/>
    <s v="Thomas Kail"/>
    <s v="Walt Disney Pictures/Seven Bucks Productions"/>
    <s v="PG"/>
    <s v="Kid"/>
  </r>
  <r>
    <s v="Descendants: Wicked Wonderland"/>
    <x v="0"/>
    <s v="July"/>
    <x v="13"/>
    <n v="6"/>
    <s v="Don't Watch"/>
    <s v="Avg"/>
    <s v="Avg"/>
    <n v="132"/>
    <m/>
    <x v="125"/>
    <x v="125"/>
    <s v="Kimmy Gatewood"/>
    <s v="Disney Channel/Disney+"/>
    <s v="PG-13"/>
    <s v="Kid"/>
  </r>
  <r>
    <s v="The Odyssey"/>
    <x v="0"/>
    <s v="July"/>
    <x v="2"/>
    <n v="9"/>
    <s v="Watch"/>
    <s v="Best"/>
    <s v="Best"/>
    <n v="114"/>
    <m/>
    <x v="126"/>
    <x v="126"/>
    <s v="Christopher Nolan"/>
    <s v="Universal Pictures / Syncopy Inc."/>
    <s v="PG-13"/>
    <s v="Kid"/>
  </r>
  <r>
    <s v="Hadestown: The Musical"/>
    <x v="0"/>
    <s v="July"/>
    <x v="1"/>
    <n v="6.4"/>
    <s v="Don't Watch"/>
    <s v="Avg"/>
    <s v="Avg"/>
    <n v="136"/>
    <m/>
    <x v="127"/>
    <x v="127"/>
    <s v="Brett Sullivan"/>
    <s v="Crosswalk/LD Entertainment"/>
    <s v="PG-13"/>
    <s v="Kid"/>
  </r>
  <r>
    <s v="Avatar Aang: The Last Airbender"/>
    <x v="0"/>
    <s v="July"/>
    <x v="18"/>
    <n v="7"/>
    <s v="Watch"/>
    <s v="Avg"/>
    <s v="Good"/>
    <n v="160"/>
    <m/>
    <x v="128"/>
    <x v="128"/>
    <s v="Lauren Montgomery"/>
    <s v="Paramount+/Paramount Pictures/Nickelodeon Movies/Avatar Studios"/>
    <s v="PG-13"/>
    <s v="Kid"/>
  </r>
  <r>
    <s v="The Gentleman Thief"/>
    <x v="0"/>
    <s v="July"/>
    <x v="17"/>
    <n v="6.3"/>
    <s v="Don't Watch"/>
    <s v="Avg"/>
    <s v="Avg"/>
    <n v="138"/>
    <m/>
    <x v="129"/>
    <x v="129"/>
    <s v="Ives"/>
    <s v="Vertical"/>
    <s v="PG-13"/>
    <s v="Kid"/>
  </r>
  <r>
    <s v="The Devil's Mouth"/>
    <x v="0"/>
    <s v="July"/>
    <x v="7"/>
    <n v="8.6999999999999993"/>
    <s v="Watch"/>
    <s v="Best"/>
    <s v="Best"/>
    <n v="123"/>
    <m/>
    <x v="130"/>
    <x v="130"/>
    <s v="Jeff Wadlow"/>
    <s v="Amazon MGM Studios/Lionsgate/Thunder Road Films"/>
    <s v="R"/>
    <s v="Adult"/>
  </r>
  <r>
    <s v="Spider-Man: Brand New Day"/>
    <x v="0"/>
    <s v="July"/>
    <x v="16"/>
    <n v="6.4"/>
    <s v="Don't Watch"/>
    <s v="Avg"/>
    <s v="Avg"/>
    <n v="160"/>
    <m/>
    <x v="131"/>
    <x v="131"/>
    <s v="Destin Daniel Cretton"/>
    <s v="Columbia Pictures/Marvel Studios/Pascal Pictures"/>
    <s v="PG-13"/>
    <s v="Kid"/>
  </r>
  <r>
    <s v="Enola Holmes 3"/>
    <x v="0"/>
    <s v="July"/>
    <x v="4"/>
    <n v="7.8"/>
    <s v="Watch"/>
    <s v="Good"/>
    <s v="Good"/>
    <n v="117"/>
    <m/>
    <x v="132"/>
    <x v="132"/>
    <s v="Philip Barantini"/>
    <s v="Netflix/Legendary Pictures"/>
    <s v="PG-13"/>
    <s v="Kid"/>
  </r>
  <r>
    <s v="Lockbox"/>
    <x v="0"/>
    <s v="July"/>
    <x v="1"/>
    <n v="6.9"/>
    <s v="Watch"/>
    <s v="Avg"/>
    <s v="Avg"/>
    <n v="138"/>
    <m/>
    <x v="96"/>
    <x v="96"/>
    <s v="Daniel Stamm"/>
    <s v="Aura Entertainment /Dark Castle Entertainment"/>
    <s v="PG-13"/>
    <s v="Kid"/>
  </r>
  <r>
    <s v="Gangland"/>
    <x v="0"/>
    <s v="July"/>
    <x v="4"/>
    <n v="7.7"/>
    <s v="Watch"/>
    <s v="Good"/>
    <s v="Good"/>
    <n v="137"/>
    <m/>
    <x v="133"/>
    <x v="133"/>
    <s v="Vincent Grashaw"/>
    <s v="Saban Films"/>
    <s v="PG-13"/>
    <s v="Kid"/>
  </r>
  <r>
    <s v="Man of War"/>
    <x v="0"/>
    <s v="July"/>
    <x v="2"/>
    <n v="7.4"/>
    <s v="Watch"/>
    <s v="Good"/>
    <s v="Good"/>
    <n v="125"/>
    <m/>
    <x v="134"/>
    <x v="134"/>
    <m/>
    <s v="Well Go USA Entertainment"/>
    <s v="PG-13"/>
    <s v="Kid"/>
  </r>
  <r>
    <s v="Evil Dead Burn"/>
    <x v="0"/>
    <s v="July"/>
    <x v="7"/>
    <n v="8.9"/>
    <s v="Watch"/>
    <s v="Best"/>
    <s v="Best"/>
    <n v="128"/>
    <m/>
    <x v="135"/>
    <x v="135"/>
    <m/>
    <s v="Warner Bros. Pictures/New Line Cinema/Screen Gems/Ghost House Pictures"/>
    <s v="R"/>
    <s v="Adult"/>
  </r>
  <r>
    <s v="Gail Daughtry and the Celebrity Sex Pass"/>
    <x v="0"/>
    <s v="July"/>
    <x v="1"/>
    <n v="6"/>
    <s v="Don't Watch"/>
    <s v="Avg"/>
    <s v="Avg"/>
    <n v="99"/>
    <m/>
    <x v="136"/>
    <x v="136"/>
    <m/>
    <s v="Sony Pictures Classics/Likely Story"/>
    <s v="PG-13"/>
    <s v="Kid"/>
  </r>
  <r>
    <s v="The Isolate Thief"/>
    <x v="0"/>
    <s v="July"/>
    <x v="1"/>
    <n v="9.1999999999999993"/>
    <s v="Watch"/>
    <s v="Best"/>
    <s v="Best"/>
    <n v="161"/>
    <m/>
    <x v="137"/>
    <x v="137"/>
    <s v="John Suits"/>
    <s v="Radial Entertainment /Hideout Pictures"/>
    <s v="PG-13"/>
    <s v="Kid"/>
  </r>
  <r>
    <s v="The Floaters"/>
    <x v="0"/>
    <s v="July"/>
    <x v="1"/>
    <n v="7.1"/>
    <s v="Watch"/>
    <s v="Good"/>
    <s v="Good"/>
    <n v="119"/>
    <m/>
    <x v="138"/>
    <x v="138"/>
    <s v="Rachel Israel"/>
    <s v="Brainstorm Media"/>
    <s v="PG-13"/>
    <s v="Kid"/>
  </r>
  <r>
    <s v="They Fight"/>
    <x v="0"/>
    <s v="July"/>
    <x v="1"/>
    <n v="8.9"/>
    <s v="Watch"/>
    <s v="Best"/>
    <s v="Best"/>
    <n v="131"/>
    <m/>
    <x v="139"/>
    <x v="139"/>
    <m/>
    <s v="Hulu/Andscape/Mandalay Pictures"/>
    <s v="PG-13"/>
    <s v="Kid"/>
  </r>
  <r>
    <s v="Borderline"/>
    <x v="0"/>
    <s v="July"/>
    <x v="5"/>
    <n v="8"/>
    <s v="Watch"/>
    <s v="Good"/>
    <s v="Good"/>
    <n v="146"/>
    <m/>
    <x v="140"/>
    <x v="140"/>
    <s v="Ryan Jordan"/>
    <s v="Vertical"/>
    <s v="PG-13"/>
    <s v="Kid"/>
  </r>
  <r>
    <s v="Motor City"/>
    <x v="0"/>
    <s v="July"/>
    <x v="1"/>
    <n v="8.6"/>
    <s v="Watch"/>
    <s v="Best"/>
    <s v="Best"/>
    <n v="161"/>
    <m/>
    <x v="141"/>
    <x v="141"/>
    <s v="Potsy Ponciroli"/>
    <s v="Independent Film Company/Stampede Ventures"/>
    <s v="PG-13"/>
    <s v="Kid"/>
  </r>
  <r>
    <s v="The Dink"/>
    <x v="0"/>
    <s v="July"/>
    <x v="10"/>
    <n v="9.1"/>
    <s v="Watch"/>
    <s v="Best"/>
    <s v="Best"/>
    <n v="127"/>
    <m/>
    <x v="142"/>
    <x v="142"/>
    <s v="Josh Greenbaum"/>
    <s v="Apple TV/Apple Original Films/Red Hour Films"/>
    <s v="PG-13"/>
    <s v="Kid"/>
  </r>
  <r>
    <s v="72 Hours"/>
    <x v="0"/>
    <s v="July"/>
    <x v="1"/>
    <n v="7.9"/>
    <s v="Watch"/>
    <s v="Good"/>
    <s v="Good"/>
    <n v="157"/>
    <m/>
    <x v="143"/>
    <x v="143"/>
    <s v="Tim Story"/>
    <s v="Netflix/Sony Pictures/Davis Entertainment/Hartbeat Productions"/>
    <s v="PG-13"/>
    <s v="Kid"/>
  </r>
  <r>
    <s v="Her Private Hell"/>
    <x v="0"/>
    <s v="July"/>
    <x v="10"/>
    <n v="9.1999999999999993"/>
    <s v="Watch"/>
    <s v="Best"/>
    <s v="Best"/>
    <n v="137"/>
    <m/>
    <x v="144"/>
    <x v="144"/>
    <m/>
    <s v="Neon"/>
    <s v="PG-13"/>
    <s v="Kid"/>
  </r>
  <r>
    <s v="Haunted Heist"/>
    <x v="0"/>
    <s v="July"/>
    <x v="7"/>
    <n v="7.3"/>
    <s v="Watch"/>
    <s v="Good"/>
    <s v="Good"/>
    <n v="145"/>
    <m/>
    <x v="145"/>
    <x v="145"/>
    <s v="Lil Rel Howery"/>
    <s v="Variance Films/Saban Films"/>
    <s v="R"/>
    <s v="Adult"/>
  </r>
  <r>
    <s v="Above &amp; Below"/>
    <x v="0"/>
    <s v="July"/>
    <x v="1"/>
    <n v="8.4"/>
    <s v="Watch"/>
    <s v="Good"/>
    <s v="Best"/>
    <n v="141"/>
    <m/>
    <x v="146"/>
    <x v="146"/>
    <s v="Jesse V. Johnson"/>
    <s v="Aura Entertainment / AF Films / Match Point"/>
    <s v="PG-13"/>
    <s v="Kid"/>
  </r>
  <r>
    <s v="I Want Your Sex"/>
    <x v="0"/>
    <s v="July"/>
    <x v="2"/>
    <n v="6.7"/>
    <s v="Watch"/>
    <s v="Avg"/>
    <s v="Avg"/>
    <n v="130"/>
    <m/>
    <x v="147"/>
    <x v="147"/>
    <m/>
    <s v="Magnolia Pictures/Black Bear Pictures"/>
    <s v="PG-13"/>
    <s v="Kid"/>
  </r>
  <r>
    <s v="Terrestrial"/>
    <x v="0"/>
    <s v="July"/>
    <x v="1"/>
    <n v="8.6999999999999993"/>
    <s v="Watch"/>
    <s v="Best"/>
    <s v="Best"/>
    <n v="135"/>
    <m/>
    <x v="148"/>
    <x v="148"/>
    <s v="Steve Pink"/>
    <s v="Aero Films"/>
    <s v="PG-13"/>
    <s v="Kid"/>
  </r>
  <r>
    <s v="Scary Movie"/>
    <x v="0"/>
    <s v="June"/>
    <x v="5"/>
    <n v="7.5"/>
    <s v="Watch"/>
    <s v="Good"/>
    <s v="Good"/>
    <n v="99"/>
    <m/>
    <x v="149"/>
    <x v="149"/>
    <s v="Michael Tiddes"/>
    <s v="Paramount Pictures/Miramax"/>
    <s v="PG-13"/>
    <s v="Kid"/>
  </r>
  <r>
    <s v="Disclosure Day"/>
    <x v="0"/>
    <s v="June"/>
    <x v="1"/>
    <n v="9.1"/>
    <s v="Watch"/>
    <s v="Best"/>
    <s v="Best"/>
    <n v="112"/>
    <m/>
    <x v="150"/>
    <x v="150"/>
    <s v="Steven Spielberg"/>
    <s v="Universal Pictures/Amblin Entertainment"/>
    <s v="PG-13"/>
    <s v="Kid"/>
  </r>
  <r>
    <s v="40 Dates and 40 Nights"/>
    <x v="0"/>
    <s v="June"/>
    <x v="2"/>
    <n v="7.7"/>
    <s v="Watch"/>
    <s v="Good"/>
    <s v="Good"/>
    <n v="119"/>
    <m/>
    <x v="151"/>
    <x v="151"/>
    <s v="Andy Delaney"/>
    <s v="Brainstorm Media"/>
    <s v="PG-13"/>
    <s v="Kid"/>
  </r>
  <r>
    <s v="Never Change!"/>
    <x v="0"/>
    <s v="June"/>
    <x v="1"/>
    <n v="7.7"/>
    <s v="Watch"/>
    <s v="Good"/>
    <s v="Good"/>
    <n v="125"/>
    <m/>
    <x v="152"/>
    <x v="152"/>
    <s v="Marty Schousboe"/>
    <s v="Hulu/APT Entertainment/All Things Comedy/American High"/>
    <s v="PG-13"/>
    <s v="Kid"/>
  </r>
  <r>
    <s v="Toy Story 5"/>
    <x v="0"/>
    <s v="June"/>
    <x v="0"/>
    <n v="6.1"/>
    <s v="Don't Watch"/>
    <s v="Avg"/>
    <s v="Avg"/>
    <n v="94"/>
    <m/>
    <x v="153"/>
    <x v="153"/>
    <m/>
    <s v="Walt Disney Pictures/Pixar Animation Studios"/>
    <s v="PG-13"/>
    <s v="Kid"/>
  </r>
  <r>
    <s v="Supergirl"/>
    <x v="0"/>
    <s v="June"/>
    <x v="16"/>
    <n v="7.3"/>
    <s v="Watch"/>
    <s v="Good"/>
    <s v="Good"/>
    <n v="148"/>
    <m/>
    <x v="154"/>
    <x v="154"/>
    <s v="Craig Gillespie"/>
    <s v="Warner Bros. Pictures/DC Studios"/>
    <s v="PG-13"/>
    <s v="Kid"/>
  </r>
  <r>
    <s v="Masters of the Universe"/>
    <x v="0"/>
    <s v="June"/>
    <x v="12"/>
    <n v="7.6"/>
    <s v="Watch"/>
    <s v="Good"/>
    <s v="Good"/>
    <n v="130"/>
    <m/>
    <x v="155"/>
    <x v="155"/>
    <s v="Travis Knight"/>
    <s v="Metro-Goldwyn-Mayer/Mattel Studios/Escape Artists"/>
    <s v="PG-13"/>
    <s v="Kid"/>
  </r>
  <r>
    <s v="Office Romance"/>
    <x v="0"/>
    <s v="June"/>
    <x v="2"/>
    <n v="8.1999999999999993"/>
    <s v="Watch"/>
    <s v="Good"/>
    <s v="Best"/>
    <n v="145"/>
    <m/>
    <x v="156"/>
    <x v="156"/>
    <s v="Ol Parker"/>
    <s v="Netflix/Ryder Picture Company/Nuyorican Productions"/>
    <s v="PG-13"/>
    <s v="Kid"/>
  </r>
  <r>
    <s v="Chum"/>
    <x v="0"/>
    <s v="June"/>
    <x v="5"/>
    <n v="7.4"/>
    <s v="Watch"/>
    <s v="Good"/>
    <s v="Good"/>
    <n v="113"/>
    <m/>
    <x v="157"/>
    <x v="157"/>
    <m/>
    <s v="Independent Film Company"/>
    <s v="PG-13"/>
    <s v="Kid"/>
  </r>
  <r>
    <s v="Carolina Caroline"/>
    <x v="0"/>
    <s v="June"/>
    <x v="1"/>
    <n v="7.7"/>
    <s v="Watch"/>
    <s v="Good"/>
    <s v="Good"/>
    <n v="95"/>
    <m/>
    <x v="158"/>
    <x v="158"/>
    <s v="Adam Carter Rehmeier"/>
    <s v="Magnolia Pictures/FilmNation Entertainment"/>
    <s v="PG-13"/>
    <s v="Kid"/>
  </r>
  <r>
    <s v="The Passenger"/>
    <x v="0"/>
    <s v="June"/>
    <x v="1"/>
    <n v="7.6"/>
    <s v="Watch"/>
    <s v="Good"/>
    <s v="Good"/>
    <n v="148"/>
    <m/>
    <x v="159"/>
    <x v="159"/>
    <s v="Vadim Perelman"/>
    <s v="Vertical/Dark Castle Entertainment/Amasia Entertainment"/>
    <s v="PG-13"/>
    <s v="Kid"/>
  </r>
  <r>
    <s v="In the Hand of Dante"/>
    <x v="0"/>
    <s v="June"/>
    <x v="1"/>
    <n v="7.3"/>
    <s v="Watch"/>
    <s v="Good"/>
    <s v="Good"/>
    <n v="157"/>
    <m/>
    <x v="160"/>
    <x v="160"/>
    <m/>
    <s v="Netflix/DreamCrew Entertainment"/>
    <s v="PG-13"/>
    <s v="Kid"/>
  </r>
  <r>
    <s v="Stop! That! Train!"/>
    <x v="0"/>
    <s v="June"/>
    <x v="1"/>
    <n v="8.4"/>
    <s v="Watch"/>
    <s v="Good"/>
    <s v="Best"/>
    <n v="162"/>
    <m/>
    <x v="161"/>
    <x v="161"/>
    <s v="Adam Shankman"/>
    <s v="Bleecker Street/World of Wonder"/>
    <s v="PG-13"/>
    <s v="Kid"/>
  </r>
  <r>
    <s v="This Tempting Madness"/>
    <x v="0"/>
    <s v="June"/>
    <x v="11"/>
    <n v="8.6999999999999993"/>
    <s v="Watch"/>
    <s v="Best"/>
    <s v="Best"/>
    <n v="93"/>
    <m/>
    <x v="162"/>
    <x v="162"/>
    <m/>
    <s v="Vertical"/>
    <s v="PG-13"/>
    <s v="Kid"/>
  </r>
  <r>
    <s v="Broken Land"/>
    <x v="0"/>
    <s v="June"/>
    <x v="1"/>
    <n v="7.4"/>
    <s v="Watch"/>
    <s v="Good"/>
    <s v="Good"/>
    <n v="140"/>
    <m/>
    <x v="163"/>
    <x v="163"/>
    <m/>
    <s v="Well Go USA Entertainment"/>
    <s v="PG-13"/>
    <s v="Kid"/>
  </r>
  <r>
    <s v="Time of Death"/>
    <x v="0"/>
    <s v="June"/>
    <x v="5"/>
    <n v="8"/>
    <s v="Watch"/>
    <s v="Good"/>
    <s v="Good"/>
    <n v="128"/>
    <m/>
    <x v="164"/>
    <x v="164"/>
    <s v="Will Wernick"/>
    <s v="Vertical"/>
    <s v="PG-13"/>
    <s v="Kid"/>
  </r>
  <r>
    <s v="Black Box"/>
    <x v="0"/>
    <s v="June"/>
    <x v="1"/>
    <n v="8.6999999999999993"/>
    <s v="Watch"/>
    <s v="Best"/>
    <s v="Best"/>
    <n v="147"/>
    <m/>
    <x v="165"/>
    <x v="165"/>
    <s v="Steven Quale"/>
    <s v="Signature Entertainment/ Aura Entertainment"/>
    <s v="PG-13"/>
    <s v="Kid"/>
  </r>
  <r>
    <s v="Girls Like Girls"/>
    <x v="0"/>
    <s v="June"/>
    <x v="6"/>
    <n v="6.7"/>
    <s v="Watch"/>
    <s v="Avg"/>
    <s v="Avg"/>
    <n v="145"/>
    <m/>
    <x v="166"/>
    <x v="166"/>
    <m/>
    <s v="Focus Features/BuzzFeed Studios/Marc Platt Productions"/>
    <s v="PG-13"/>
    <s v="Kid"/>
  </r>
  <r>
    <s v="Jackass: Best and Last"/>
    <x v="0"/>
    <s v="June"/>
    <x v="1"/>
    <n v="6"/>
    <s v="Don't Watch"/>
    <s v="Avg"/>
    <s v="Avg"/>
    <n v="108"/>
    <m/>
    <x v="167"/>
    <x v="167"/>
    <s v="Jeff Tremaine"/>
    <s v="Paramount Pictures/MTV Entertainment Studios"/>
    <s v="PG-13"/>
    <s v="Kid"/>
  </r>
  <r>
    <s v="Little Brother"/>
    <x v="0"/>
    <s v="June"/>
    <x v="5"/>
    <n v="6.7"/>
    <s v="Watch"/>
    <s v="Avg"/>
    <s v="Avg"/>
    <n v="121"/>
    <m/>
    <x v="168"/>
    <x v="168"/>
    <s v="Matt Spicer"/>
    <s v="Netflix/The District"/>
    <s v="PG-13"/>
    <s v="Kid"/>
  </r>
  <r>
    <s v="The Invite"/>
    <x v="0"/>
    <s v="June"/>
    <x v="2"/>
    <n v="6"/>
    <s v="Don't Watch"/>
    <s v="Avg"/>
    <s v="Avg"/>
    <n v="135"/>
    <m/>
    <x v="169"/>
    <x v="169"/>
    <s v="Olivia Wilde"/>
    <s v="A24/Annapurna Pictures/FilmNation Entertainment"/>
    <s v="PG-13"/>
    <s v="Kid"/>
  </r>
  <r>
    <s v="Strung"/>
    <x v="0"/>
    <s v="June"/>
    <x v="7"/>
    <n v="8.9"/>
    <s v="Watch"/>
    <s v="Best"/>
    <s v="Best"/>
    <n v="134"/>
    <m/>
    <x v="170"/>
    <x v="170"/>
    <s v="Malcolm D. Lee"/>
    <s v="Peacock/Universal Pictures/Peachtree &amp; Vine/Blumhouse Productions"/>
    <s v="R"/>
    <s v="Adult"/>
  </r>
  <r>
    <s v="The Get Out"/>
    <x v="0"/>
    <s v="June"/>
    <x v="3"/>
    <n v="6.9"/>
    <s v="Watch"/>
    <s v="Avg"/>
    <s v="Avg"/>
    <n v="144"/>
    <m/>
    <x v="171"/>
    <x v="171"/>
    <m/>
    <s v="Vertical"/>
    <s v="PG-13"/>
    <s v="Kid"/>
  </r>
  <r>
    <s v="Lucky Strike"/>
    <x v="0"/>
    <s v="June"/>
    <x v="2"/>
    <n v="6.3"/>
    <s v="Don't Watch"/>
    <s v="Avg"/>
    <s v="Avg"/>
    <n v="144"/>
    <m/>
    <x v="172"/>
    <x v="172"/>
    <m/>
    <s v="Roadside Attractions/Saban Films"/>
    <s v="PG-13"/>
    <s v="Kid"/>
  </r>
  <r>
    <s v="The Room Returns!"/>
    <x v="0"/>
    <s v="June"/>
    <x v="12"/>
    <n v="7.6"/>
    <s v="Watch"/>
    <s v="Good"/>
    <s v="Good"/>
    <n v="145"/>
    <m/>
    <x v="173"/>
    <x v="173"/>
    <s v="Brando Crawford"/>
    <s v="Acting for a Cause"/>
    <s v="PG-13"/>
    <s v="Kid"/>
  </r>
  <r>
    <s v="Above the Line"/>
    <x v="0"/>
    <s v="June"/>
    <x v="1"/>
    <n v="8.9"/>
    <s v="Watch"/>
    <s v="Best"/>
    <s v="Best"/>
    <n v="161"/>
    <m/>
    <x v="174"/>
    <x v="174"/>
    <m/>
    <s v="Quiver Distribution"/>
    <s v="PG-13"/>
    <s v="Kid"/>
  </r>
  <r>
    <s v="Jacked"/>
    <x v="0"/>
    <s v="June"/>
    <x v="9"/>
    <n v="9"/>
    <s v="Watch"/>
    <s v="Best"/>
    <s v="Best"/>
    <n v="144"/>
    <m/>
    <x v="175"/>
    <x v="175"/>
    <m/>
    <s v="Indican Pictures"/>
    <s v="R"/>
    <s v="Adult"/>
  </r>
  <r>
    <s v="Sugar Beach"/>
    <x v="0"/>
    <s v="June"/>
    <x v="13"/>
    <n v="6.3"/>
    <s v="Don't Watch"/>
    <s v="Avg"/>
    <s v="Avg"/>
    <n v="129"/>
    <m/>
    <x v="176"/>
    <x v="176"/>
    <s v="Noely Mendoza"/>
    <s v="Seismic Releasing / Brace Yourself"/>
    <s v="PG-13"/>
    <s v="Kid"/>
  </r>
  <r>
    <s v="Bouchra"/>
    <x v="0"/>
    <s v="June"/>
    <x v="9"/>
    <n v="8.8000000000000007"/>
    <s v="Watch"/>
    <s v="Best"/>
    <s v="Best"/>
    <n v="124"/>
    <m/>
    <x v="177"/>
    <x v="177"/>
    <m/>
    <s v="Film Movement/Fondazione Prada"/>
    <s v="R"/>
    <s v="Adult"/>
  </r>
  <r>
    <s v="The Hermit"/>
    <x v="0"/>
    <s v="March"/>
    <x v="1"/>
    <n v="8.6999999999999993"/>
    <s v="Watch"/>
    <s v="Best"/>
    <s v="Best"/>
    <n v="129"/>
    <m/>
    <x v="178"/>
    <x v="178"/>
    <s v="Salvatore Sclafani"/>
    <s v="Uncork'd Entertainment"/>
    <s v="PG-13"/>
    <s v="Kid"/>
  </r>
  <r>
    <s v="Hoppers"/>
    <x v="0"/>
    <s v="March"/>
    <x v="0"/>
    <n v="8.4"/>
    <s v="Watch"/>
    <s v="Good"/>
    <s v="Best"/>
    <n v="153"/>
    <m/>
    <x v="179"/>
    <x v="179"/>
    <s v="Daniel Chong"/>
    <s v="Walt Disney Pictures/Pixar Animation Studios"/>
    <s v="PG-13"/>
    <s v="Kid"/>
  </r>
  <r>
    <s v="Reminders of Him"/>
    <x v="0"/>
    <s v="March"/>
    <x v="1"/>
    <n v="8.8000000000000007"/>
    <s v="Watch"/>
    <s v="Best"/>
    <s v="Best"/>
    <n v="91"/>
    <m/>
    <x v="180"/>
    <x v="180"/>
    <s v="Vanessa Caswill"/>
    <s v="Universal Pictures/Little Engine Productions"/>
    <s v="PG-13"/>
    <s v="Kid"/>
  </r>
  <r>
    <s v="Preschool"/>
    <x v="0"/>
    <s v="March"/>
    <x v="5"/>
    <n v="9.1999999999999993"/>
    <s v="Watch"/>
    <s v="Best"/>
    <s v="Best"/>
    <n v="134"/>
    <m/>
    <x v="181"/>
    <x v="181"/>
    <s v="Josh Duhamel"/>
    <s v="Republic Pictures"/>
    <s v="PG-13"/>
    <s v="Kid"/>
  </r>
  <r>
    <s v="Recollection"/>
    <x v="0"/>
    <s v="March"/>
    <x v="10"/>
    <n v="7"/>
    <s v="Watch"/>
    <s v="Avg"/>
    <s v="Good"/>
    <n v="142"/>
    <m/>
    <x v="182"/>
    <x v="182"/>
    <m/>
    <s v="Perrsimmon / Paradox Studios"/>
    <s v="PG-13"/>
    <s v="Kid"/>
  </r>
  <r>
    <s v="Project Hail Mary"/>
    <x v="0"/>
    <s v="March"/>
    <x v="1"/>
    <n v="7.1"/>
    <s v="Watch"/>
    <s v="Good"/>
    <s v="Good"/>
    <n v="98"/>
    <m/>
    <x v="183"/>
    <x v="183"/>
    <s v="Phil Lord, Christopher Miller"/>
    <s v="Metro-Goldwyn-Mayer/Pascal Pictures/Lord Miller Productions/Open Invite Entertainment/Waypoint Entertainment"/>
    <s v="PG-13"/>
    <s v="Kid"/>
  </r>
  <r>
    <s v="Crybaby Bridge"/>
    <x v="0"/>
    <s v="March"/>
    <x v="5"/>
    <n v="9"/>
    <s v="Watch"/>
    <s v="Best"/>
    <s v="Best"/>
    <n v="153"/>
    <m/>
    <x v="184"/>
    <x v="184"/>
    <s v="Sarah T. Schwab"/>
    <s v="X4 Pictures / Cardinal Flix / Without a Net Productions"/>
    <s v="PG-13"/>
    <s v="Kid"/>
  </r>
  <r>
    <s v="Pretty Lethal"/>
    <x v="0"/>
    <s v="March"/>
    <x v="5"/>
    <n v="6.8"/>
    <s v="Watch"/>
    <s v="Avg"/>
    <s v="Avg"/>
    <n v="98"/>
    <m/>
    <x v="185"/>
    <x v="185"/>
    <s v="Vicky Jewson"/>
    <s v="Amazon MGM Studios/87North Productions"/>
    <s v="PG-13"/>
    <s v="Kid"/>
  </r>
  <r>
    <s v="They Will Kill You"/>
    <x v="0"/>
    <s v="March"/>
    <x v="2"/>
    <n v="8.3000000000000007"/>
    <s v="Watch"/>
    <s v="Good"/>
    <s v="Best"/>
    <n v="143"/>
    <m/>
    <x v="186"/>
    <x v="186"/>
    <m/>
    <s v="Warner Bros. Pictures/New Line Cinema/Nocturna"/>
    <s v="PG-13"/>
    <s v="Kid"/>
  </r>
  <r>
    <s v="War Machine"/>
    <x v="0"/>
    <s v="March"/>
    <x v="2"/>
    <n v="7.3"/>
    <s v="Watch"/>
    <s v="Good"/>
    <s v="Good"/>
    <n v="139"/>
    <m/>
    <x v="187"/>
    <x v="187"/>
    <m/>
    <s v="Netflix/Lionsgate"/>
    <s v="PG-13"/>
    <s v="Kid"/>
  </r>
  <r>
    <s v="Youngblood"/>
    <x v="0"/>
    <s v="March"/>
    <x v="1"/>
    <n v="7.5"/>
    <s v="Watch"/>
    <s v="Good"/>
    <s v="Good"/>
    <n v="99"/>
    <m/>
    <x v="149"/>
    <x v="149"/>
    <s v="Hubert Davis"/>
    <s v="Well Go USA Entertainment/Dolphin Entertainment"/>
    <s v="PG-13"/>
    <s v="Kid"/>
  </r>
  <r>
    <s v="Protector"/>
    <x v="0"/>
    <s v="March"/>
    <x v="14"/>
    <n v="7.8"/>
    <s v="Watch"/>
    <s v="Good"/>
    <s v="Good"/>
    <n v="153"/>
    <m/>
    <x v="188"/>
    <x v="188"/>
    <s v="Adrian Grünberg"/>
    <s v="Magenta Light Studios"/>
    <s v="PG-13"/>
    <s v="Kid"/>
  </r>
  <r>
    <s v="Dolly"/>
    <x v="0"/>
    <s v="March"/>
    <x v="7"/>
    <n v="6.1"/>
    <s v="Don't Watch"/>
    <s v="Avg"/>
    <s v="Avg"/>
    <n v="157"/>
    <m/>
    <x v="189"/>
    <x v="189"/>
    <m/>
    <s v="Independent Film Company/Shudder"/>
    <s v="R"/>
    <s v="Adult"/>
  </r>
  <r>
    <s v="Starstruck"/>
    <x v="0"/>
    <s v="March"/>
    <x v="9"/>
    <n v="6.2"/>
    <s v="Don't Watch"/>
    <s v="Avg"/>
    <s v="Avg"/>
    <n v="119"/>
    <m/>
    <x v="190"/>
    <x v="190"/>
    <s v="Michelle Danner"/>
    <s v="All In Films"/>
    <s v="R"/>
    <s v="Adult"/>
  </r>
  <r>
    <s v="Bodycam"/>
    <x v="0"/>
    <s v="March"/>
    <x v="7"/>
    <n v="8.3000000000000007"/>
    <s v="Watch"/>
    <s v="Good"/>
    <s v="Best"/>
    <n v="119"/>
    <m/>
    <x v="191"/>
    <x v="191"/>
    <m/>
    <s v="Shudder"/>
    <s v="R"/>
    <s v="Adult"/>
  </r>
  <r>
    <s v="Ready or Not 2: Here I Come"/>
    <x v="0"/>
    <s v="March"/>
    <x v="1"/>
    <n v="7.5"/>
    <s v="Watch"/>
    <s v="Good"/>
    <s v="Good"/>
    <n v="96"/>
    <m/>
    <x v="192"/>
    <x v="192"/>
    <s v="Matt Bettinelli-Olpin,Tyler Gillett"/>
    <s v="Searchlight Pictures/Mythology Entertainment/Radio Silence Productions"/>
    <s v="PG-13"/>
    <s v="Kid"/>
  </r>
  <r>
    <s v="Do Not Enter"/>
    <x v="0"/>
    <s v="March"/>
    <x v="1"/>
    <n v="7.5"/>
    <s v="Watch"/>
    <s v="Good"/>
    <s v="Good"/>
    <n v="99"/>
    <m/>
    <x v="149"/>
    <x v="149"/>
    <s v="Marc Klasfeld"/>
    <s v="Lionsgate/Suretone Pictures"/>
    <s v="PG-13"/>
    <s v="Kid"/>
  </r>
  <r>
    <s v="The Pout-Pout Fish"/>
    <x v="0"/>
    <s v="March"/>
    <x v="5"/>
    <n v="6.3"/>
    <s v="Don't Watch"/>
    <s v="Avg"/>
    <s v="Avg"/>
    <n v="156"/>
    <m/>
    <x v="193"/>
    <x v="193"/>
    <s v="Ricard Cussó, Rio Harrington"/>
    <s v="Viva Pictures"/>
    <s v="PG-13"/>
    <s v="Kid"/>
  </r>
  <r>
    <s v="Ricky"/>
    <x v="0"/>
    <s v="March"/>
    <x v="1"/>
    <n v="9.1999999999999993"/>
    <s v="Watch"/>
    <s v="Best"/>
    <s v="Best"/>
    <n v="155"/>
    <m/>
    <x v="194"/>
    <x v="194"/>
    <m/>
    <s v="Blue Harbor Entertainment / Ossetra Films / Bay Mills Studios"/>
    <s v="PG-13"/>
    <s v="Kid"/>
  </r>
  <r>
    <s v="Tow"/>
    <x v="0"/>
    <s v="March"/>
    <x v="2"/>
    <n v="9"/>
    <s v="Watch"/>
    <s v="Best"/>
    <s v="Best"/>
    <n v="105"/>
    <m/>
    <x v="195"/>
    <x v="195"/>
    <s v="Stephanie Laing"/>
    <s v="Vertical/Roadside Attractions"/>
    <s v="PG-13"/>
    <s v="Kid"/>
  </r>
  <r>
    <s v="Wardriver"/>
    <x v="0"/>
    <s v="March"/>
    <x v="2"/>
    <n v="6.6"/>
    <s v="Watch"/>
    <s v="Avg"/>
    <s v="Avg"/>
    <n v="141"/>
    <m/>
    <x v="196"/>
    <x v="196"/>
    <s v="Rebecca Thomas"/>
    <s v="The Avenue / Star Thrower Entertainment"/>
    <s v="PG-13"/>
    <s v="Kid"/>
  </r>
  <r>
    <s v="Monument"/>
    <x v="0"/>
    <s v="March"/>
    <x v="13"/>
    <n v="6.6"/>
    <s v="Watch"/>
    <s v="Avg"/>
    <s v="Avg"/>
    <n v="117"/>
    <m/>
    <x v="197"/>
    <x v="197"/>
    <s v="Bryan Singer"/>
    <s v="Bad Hat Harry"/>
    <s v="PG-13"/>
    <s v="Kid"/>
  </r>
  <r>
    <s v="The Cure"/>
    <x v="0"/>
    <s v="March"/>
    <x v="5"/>
    <n v="6.7"/>
    <s v="Watch"/>
    <s v="Avg"/>
    <s v="Avg"/>
    <n v="136"/>
    <m/>
    <x v="198"/>
    <x v="198"/>
    <s v="Nancy Leopardi"/>
    <s v="Vertical"/>
    <s v="PG-13"/>
    <s v="Kid"/>
  </r>
  <r>
    <s v="Forbidden Fruits"/>
    <x v="0"/>
    <s v="March"/>
    <x v="7"/>
    <n v="6.7"/>
    <s v="Watch"/>
    <s v="Avg"/>
    <s v="Avg"/>
    <n v="94"/>
    <m/>
    <x v="199"/>
    <x v="199"/>
    <m/>
    <s v="Independent Film Company/Shudder"/>
    <s v="R"/>
    <s v="Adult"/>
  </r>
  <r>
    <s v="Our Hero, Balthazar"/>
    <x v="0"/>
    <s v="March"/>
    <x v="11"/>
    <n v="6.1"/>
    <s v="Don't Watch"/>
    <s v="Avg"/>
    <s v="Avg"/>
    <n v="103"/>
    <m/>
    <x v="200"/>
    <x v="200"/>
    <m/>
    <s v="Picturehouse"/>
    <s v="PG-13"/>
    <s v="Kid"/>
  </r>
  <r>
    <s v="She Dances"/>
    <x v="0"/>
    <s v="March"/>
    <x v="1"/>
    <n v="9.1999999999999993"/>
    <s v="Watch"/>
    <s v="Best"/>
    <s v="Best"/>
    <n v="101"/>
    <m/>
    <x v="201"/>
    <x v="201"/>
    <m/>
    <s v="EKKL Entertainment /Wavelength"/>
    <s v="PG-13"/>
    <s v="Kid"/>
  </r>
  <r>
    <s v="You're Dating a Narcissist!"/>
    <x v="0"/>
    <s v="March"/>
    <x v="1"/>
    <n v="8.6"/>
    <s v="Watch"/>
    <s v="Best"/>
    <s v="Best"/>
    <n v="146"/>
    <m/>
    <x v="202"/>
    <x v="202"/>
    <m/>
    <s v="Brainstorm Media"/>
    <s v="PG-13"/>
    <s v="Kid"/>
  </r>
  <r>
    <s v="Rockabye"/>
    <x v="0"/>
    <s v="March"/>
    <x v="4"/>
    <n v="6.4"/>
    <s v="Don't Watch"/>
    <s v="Avg"/>
    <s v="Avg"/>
    <n v="157"/>
    <m/>
    <x v="76"/>
    <x v="76"/>
    <m/>
    <s v="Tubi"/>
    <s v="PG-13"/>
    <s v="Kid"/>
  </r>
  <r>
    <s v="The Devil Wears Prada 2"/>
    <x v="0"/>
    <s v="May"/>
    <x v="7"/>
    <n v="6.2"/>
    <s v="Don't Watch"/>
    <s v="Avg"/>
    <s v="Avg"/>
    <n v="110"/>
    <m/>
    <x v="203"/>
    <x v="203"/>
    <s v="David Frankel"/>
    <s v="20th Century Studios/Wendy Finerman Productions"/>
    <s v="R"/>
    <s v="Adult"/>
  </r>
  <r>
    <s v="Mortal Kombat II"/>
    <x v="0"/>
    <s v="May"/>
    <x v="2"/>
    <n v="6"/>
    <s v="Don't Watch"/>
    <s v="Avg"/>
    <s v="Avg"/>
    <n v="105"/>
    <m/>
    <x v="204"/>
    <x v="204"/>
    <s v="Simon McQuoid"/>
    <s v="Warner Bros. Pictures/New Line Cinema/Atomic Monster"/>
    <s v="PG-13"/>
    <s v="Kid"/>
  </r>
  <r>
    <s v="Jack Ryan: Ghost War"/>
    <x v="0"/>
    <s v="May"/>
    <x v="7"/>
    <n v="8"/>
    <s v="Watch"/>
    <s v="Good"/>
    <s v="Good"/>
    <n v="122"/>
    <m/>
    <x v="205"/>
    <x v="205"/>
    <s v="Andrew Bernstein"/>
    <s v="Amazon MGM Studios/Paramount Pictures/Sunday Night Productions"/>
    <s v="R"/>
    <s v="Adult"/>
  </r>
  <r>
    <s v="The Mandalorian and Grogu"/>
    <x v="0"/>
    <s v="May"/>
    <x v="1"/>
    <n v="6.4"/>
    <s v="Don't Watch"/>
    <s v="Avg"/>
    <s v="Avg"/>
    <n v="100"/>
    <m/>
    <x v="206"/>
    <x v="206"/>
    <m/>
    <s v="Lucasfilm/Fairview Entertainment"/>
    <s v="PG-13"/>
    <s v="Kid"/>
  </r>
  <r>
    <s v="Backrooms"/>
    <x v="0"/>
    <s v="May"/>
    <x v="1"/>
    <n v="7.8"/>
    <s v="Watch"/>
    <s v="Good"/>
    <s v="Good"/>
    <n v="120"/>
    <m/>
    <x v="207"/>
    <x v="207"/>
    <s v="Kane Parsons"/>
    <s v="A24/North Road Films/21 Laps Entertainment/Atomic Monster"/>
    <s v="PG-13"/>
    <s v="Kid"/>
  </r>
  <r>
    <s v="Speed Demon"/>
    <x v="0"/>
    <s v="May"/>
    <x v="7"/>
    <n v="7.8"/>
    <s v="Watch"/>
    <s v="Good"/>
    <s v="Good"/>
    <n v="144"/>
    <m/>
    <x v="208"/>
    <x v="208"/>
    <s v="Jon Keeyes"/>
    <s v="Maverick Film / Complex Corp"/>
    <s v="R"/>
    <s v="Adult"/>
  </r>
  <r>
    <s v="Animal Farm"/>
    <x v="0"/>
    <s v="May"/>
    <x v="4"/>
    <n v="6.6"/>
    <s v="Watch"/>
    <s v="Avg"/>
    <s v="Avg"/>
    <n v="132"/>
    <m/>
    <x v="209"/>
    <x v="209"/>
    <s v="Andy Serkis"/>
    <s v="Angel Studios/The Imaginarium Studios/Aniventure/Cinesite"/>
    <s v="PG-13"/>
    <s v="Kid"/>
  </r>
  <r>
    <s v="Swapped"/>
    <x v="0"/>
    <s v="May"/>
    <x v="0"/>
    <n v="7.1"/>
    <s v="Watch"/>
    <s v="Good"/>
    <s v="Good"/>
    <n v="140"/>
    <m/>
    <x v="210"/>
    <x v="210"/>
    <s v="Nathan Greno"/>
    <s v="Netflix/Skydance Animation"/>
    <s v="PG-13"/>
    <s v="Kid"/>
  </r>
  <r>
    <s v="Deep Water"/>
    <x v="0"/>
    <s v="May"/>
    <x v="18"/>
    <n v="7.8"/>
    <s v="Watch"/>
    <s v="Good"/>
    <s v="Good"/>
    <n v="120"/>
    <m/>
    <x v="207"/>
    <x v="207"/>
    <s v="Renny Harlin"/>
    <s v="Magenta Light Studios/Arclight Films/Simmons/Hamilton Productions"/>
    <s v="PG-13"/>
    <s v="Kid"/>
  </r>
  <r>
    <s v="Casa Grande"/>
    <x v="0"/>
    <s v="May"/>
    <x v="1"/>
    <n v="8.4"/>
    <s v="Watch"/>
    <s v="Good"/>
    <s v="Best"/>
    <n v="117"/>
    <m/>
    <x v="211"/>
    <x v="211"/>
    <m/>
    <s v="ESX Entertainment"/>
    <s v="PG-13"/>
    <s v="Kid"/>
  </r>
  <r>
    <s v="The Fuzzies"/>
    <x v="0"/>
    <s v="May"/>
    <x v="10"/>
    <n v="9"/>
    <s v="Watch"/>
    <s v="Best"/>
    <s v="Best"/>
    <n v="114"/>
    <m/>
    <x v="212"/>
    <x v="212"/>
    <m/>
    <s v="Terror Films"/>
    <s v="PG-13"/>
    <s v="Kid"/>
  </r>
  <r>
    <s v="The Sheep Detectives"/>
    <x v="0"/>
    <s v="May"/>
    <x v="2"/>
    <n v="8.6"/>
    <s v="Watch"/>
    <s v="Best"/>
    <s v="Best"/>
    <n v="110"/>
    <m/>
    <x v="213"/>
    <x v="213"/>
    <s v="Kyle Balda"/>
    <s v="Metro-Goldwyn-Mayer/Working Title Films"/>
    <s v="PG-13"/>
    <s v="Kid"/>
  </r>
  <r>
    <s v="Billie Eilish – Hit Me Hard and Soft: The Tour (Live in 3D)"/>
    <x v="0"/>
    <s v="May"/>
    <x v="14"/>
    <n v="9.1999999999999993"/>
    <s v="Watch"/>
    <s v="Best"/>
    <s v="Best"/>
    <n v="146"/>
    <m/>
    <x v="214"/>
    <x v="214"/>
    <s v="James Cameron,Billie Eilish"/>
    <s v="Paramount Pictures/Lightstorm Earth/Darkroom Films/Interscope Films"/>
    <s v="PG-13"/>
    <s v="Kid"/>
  </r>
  <r>
    <s v="Remarkably Bright Creatures"/>
    <x v="0"/>
    <s v="May"/>
    <x v="9"/>
    <n v="8.1"/>
    <s v="Watch"/>
    <s v="Good"/>
    <s v="Best"/>
    <n v="114"/>
    <m/>
    <x v="215"/>
    <x v="215"/>
    <m/>
    <s v="Netflix/Anonymous Content"/>
    <s v="R"/>
    <s v="Adult"/>
  </r>
  <r>
    <s v="Takeover"/>
    <x v="0"/>
    <s v="May"/>
    <x v="1"/>
    <n v="8.1"/>
    <s v="Watch"/>
    <s v="Good"/>
    <s v="Best"/>
    <n v="99"/>
    <m/>
    <x v="216"/>
    <x v="216"/>
    <s v="Greg Jonkajtys"/>
    <s v="Firestorm Entertainment / Quality Control Trioscope"/>
    <s v="PG-13"/>
    <s v="Kid"/>
  </r>
  <r>
    <s v="Influenced"/>
    <x v="0"/>
    <s v="May"/>
    <x v="1"/>
    <n v="7.1"/>
    <s v="Watch"/>
    <s v="Good"/>
    <s v="Good"/>
    <n v="137"/>
    <m/>
    <x v="217"/>
    <x v="217"/>
    <s v="Rachel Israel"/>
    <s v="Brainstorm Media/ Menemsha Films"/>
    <s v="PG-13"/>
    <s v="Kid"/>
  </r>
  <r>
    <s v="Neglected"/>
    <x v="0"/>
    <s v="May"/>
    <x v="1"/>
    <n v="8.9"/>
    <s v="Watch"/>
    <s v="Best"/>
    <s v="Best"/>
    <n v="98"/>
    <m/>
    <x v="218"/>
    <x v="218"/>
    <m/>
    <s v="Inaugural Entertainment"/>
    <s v="PG-13"/>
    <s v="Kid"/>
  </r>
  <r>
    <s v="Broad Trip"/>
    <x v="0"/>
    <s v="May"/>
    <x v="8"/>
    <n v="8.4"/>
    <s v="Watch"/>
    <s v="Good"/>
    <s v="Best"/>
    <n v="126"/>
    <m/>
    <x v="219"/>
    <x v="219"/>
    <s v="Crystal Lowe"/>
    <s v="The Roku Channel"/>
    <s v="R"/>
    <s v="Adult"/>
  </r>
  <r>
    <s v="Driver's Ed"/>
    <x v="0"/>
    <s v="May"/>
    <x v="1"/>
    <n v="9.1"/>
    <s v="Watch"/>
    <s v="Best"/>
    <s v="Best"/>
    <n v="91"/>
    <m/>
    <x v="220"/>
    <x v="220"/>
    <s v="Bobby Farrelly"/>
    <s v="Vertical/AGC Studios"/>
    <s v="PG-13"/>
    <s v="Kid"/>
  </r>
  <r>
    <s v="Magic Hour"/>
    <x v="0"/>
    <s v="May"/>
    <x v="1"/>
    <n v="7.6"/>
    <s v="Watch"/>
    <s v="Good"/>
    <s v="Good"/>
    <n v="118"/>
    <m/>
    <x v="221"/>
    <x v="221"/>
    <m/>
    <s v="Greenwich Entertainment/Duplass Brothers Productions"/>
    <s v="PG-13"/>
    <s v="Kid"/>
  </r>
  <r>
    <s v="Passenger"/>
    <x v="0"/>
    <s v="May"/>
    <x v="4"/>
    <n v="8.5"/>
    <s v="Watch"/>
    <s v="Good"/>
    <s v="Best"/>
    <n v="127"/>
    <m/>
    <x v="222"/>
    <x v="222"/>
    <s v="André Øvredal"/>
    <s v="Paramount Pictures"/>
    <s v="PG-13"/>
    <s v="Kid"/>
  </r>
  <r>
    <s v="Ladies First"/>
    <x v="0"/>
    <s v="May"/>
    <x v="4"/>
    <n v="6.4"/>
    <s v="Don't Watch"/>
    <s v="Avg"/>
    <s v="Avg"/>
    <n v="112"/>
    <m/>
    <x v="223"/>
    <x v="223"/>
    <s v="Thea Sharrock"/>
    <s v="Netflix/3dot Productions"/>
    <s v="PG-13"/>
    <s v="Kid"/>
  </r>
  <r>
    <s v="Tuner"/>
    <x v="0"/>
    <s v="May"/>
    <x v="4"/>
    <n v="7.1"/>
    <s v="Watch"/>
    <s v="Good"/>
    <s v="Good"/>
    <n v="92"/>
    <m/>
    <x v="224"/>
    <x v="224"/>
    <m/>
    <s v="Black Bear Pictures/Elevation Pictures"/>
    <s v="PG-13"/>
    <s v="Kid"/>
  </r>
  <r>
    <s v="Corporate Retreat"/>
    <x v="0"/>
    <s v="May"/>
    <x v="17"/>
    <n v="9.1999999999999993"/>
    <s v="Watch"/>
    <s v="Best"/>
    <s v="Best"/>
    <n v="143"/>
    <m/>
    <x v="225"/>
    <x v="225"/>
    <m/>
    <s v="Western Film Service / Passage Pictures"/>
    <s v="PG-13"/>
    <s v="Kid"/>
  </r>
  <r>
    <s v="Situations"/>
    <x v="0"/>
    <s v="May"/>
    <x v="8"/>
    <n v="9.1999999999999993"/>
    <s v="Watch"/>
    <s v="Best"/>
    <s v="Best"/>
    <n v="116"/>
    <m/>
    <x v="226"/>
    <x v="226"/>
    <m/>
    <s v="Utopia"/>
    <s v="R"/>
    <s v="Adult"/>
  </r>
  <r>
    <s v="The Breadwinner"/>
    <x v="0"/>
    <s v="May"/>
    <x v="1"/>
    <n v="7.9"/>
    <s v="Watch"/>
    <s v="Good"/>
    <s v="Good"/>
    <n v="124"/>
    <m/>
    <x v="227"/>
    <x v="227"/>
    <m/>
    <s v="TriStar Pictures/Wonder Project"/>
    <s v="PG-13"/>
    <s v="Kid"/>
  </r>
  <r>
    <s v="Power Ballad"/>
    <x v="0"/>
    <s v="May"/>
    <x v="3"/>
    <n v="8.4"/>
    <s v="Watch"/>
    <s v="Good"/>
    <s v="Best"/>
    <n v="99"/>
    <m/>
    <x v="228"/>
    <x v="228"/>
    <m/>
    <s v="Lionsgate/30West/Screen Ireland/Likely Story"/>
    <s v="PG-13"/>
    <s v="Kid"/>
  </r>
  <r>
    <s v="Pitfall"/>
    <x v="0"/>
    <s v="May"/>
    <x v="1"/>
    <n v="6.3"/>
    <s v="Don't Watch"/>
    <s v="Avg"/>
    <s v="Avg"/>
    <n v="132"/>
    <m/>
    <x v="229"/>
    <x v="229"/>
    <s v="James Kondelik"/>
    <s v="Voltage Pictures"/>
    <s v="PG-13"/>
    <s v="Kid"/>
  </r>
  <r>
    <s v="Ebenezer"/>
    <x v="0"/>
    <s v="November"/>
    <x v="1"/>
    <n v="6.4"/>
    <s v="Don't Watch"/>
    <s v="Avg"/>
    <s v="Avg"/>
    <n v="157"/>
    <m/>
    <x v="76"/>
    <x v="76"/>
    <s v="Ti West"/>
    <s v="Paramount Pictures"/>
    <s v="PG-13"/>
    <s v="Kid"/>
  </r>
  <r>
    <s v="Madden"/>
    <x v="0"/>
    <s v="November"/>
    <x v="8"/>
    <n v="6.4"/>
    <s v="Don't Watch"/>
    <s v="Avg"/>
    <s v="Avg"/>
    <n v="151"/>
    <m/>
    <x v="230"/>
    <x v="230"/>
    <m/>
    <s v="Amazon MGM Studios/Escape Artists/Skydance Sports"/>
    <s v="R"/>
    <s v="Adult"/>
  </r>
  <r>
    <s v="The Hunger Games: Sunrise on the Reaping"/>
    <x v="0"/>
    <s v="November"/>
    <x v="5"/>
    <n v="8.9"/>
    <s v="Watch"/>
    <s v="Best"/>
    <s v="Best"/>
    <n v="137"/>
    <m/>
    <x v="231"/>
    <x v="231"/>
    <s v="Francis Lawrence"/>
    <s v="Lionsgate/Color Force"/>
    <s v="PG-13"/>
    <s v="Kid"/>
  </r>
  <r>
    <s v="Ghost Soldier"/>
    <x v="0"/>
    <s v="November"/>
    <x v="7"/>
    <n v="9"/>
    <s v="Watch"/>
    <s v="Best"/>
    <s v="Best"/>
    <n v="162"/>
    <m/>
    <x v="232"/>
    <x v="232"/>
    <s v="William Eubank"/>
    <s v="Columbia Pictures/Mandalay Pictures"/>
    <s v="R"/>
    <s v="Adult"/>
  </r>
  <r>
    <s v="I Play Rocky"/>
    <x v="0"/>
    <s v="November"/>
    <x v="1"/>
    <n v="8"/>
    <s v="Watch"/>
    <s v="Good"/>
    <s v="Good"/>
    <n v="104"/>
    <m/>
    <x v="233"/>
    <x v="233"/>
    <s v="Peter Farrelly"/>
    <s v="Metro-Goldwyn-Mayer/FilmNation Entertainment"/>
    <s v="PG-13"/>
    <s v="Kid"/>
  </r>
  <r>
    <s v="Being Heumann"/>
    <x v="0"/>
    <s v="November"/>
    <x v="5"/>
    <n v="8.5"/>
    <s v="Watch"/>
    <s v="Good"/>
    <s v="Best"/>
    <n v="124"/>
    <m/>
    <x v="234"/>
    <x v="234"/>
    <m/>
    <s v="Apple Original Films/Apple Studios"/>
    <s v="PG-13"/>
    <s v="Kid"/>
  </r>
  <r>
    <s v="Jimmy"/>
    <x v="0"/>
    <s v="November"/>
    <x v="1"/>
    <n v="6.3"/>
    <s v="Don't Watch"/>
    <s v="Avg"/>
    <s v="Avg"/>
    <n v="159"/>
    <m/>
    <x v="235"/>
    <x v="235"/>
    <s v="Aaron Burns"/>
    <s v="Fathom Entertainment"/>
    <s v="PG-13"/>
    <s v="Kid"/>
  </r>
  <r>
    <s v="Drummer Boy"/>
    <x v="0"/>
    <s v="November"/>
    <x v="17"/>
    <n v="7.9"/>
    <s v="Watch"/>
    <s v="Good"/>
    <s v="Good"/>
    <n v="103"/>
    <m/>
    <x v="236"/>
    <x v="236"/>
    <s v="Joel David Smallbone, Ben Smallbone"/>
    <s v="Angel Studios"/>
    <s v="PG-13"/>
    <s v="Kid"/>
  </r>
  <r>
    <s v="How to Rob a Bank"/>
    <x v="0"/>
    <s v="November"/>
    <x v="7"/>
    <n v="7.9"/>
    <s v="Watch"/>
    <s v="Good"/>
    <s v="Good"/>
    <n v="91"/>
    <m/>
    <x v="237"/>
    <x v="237"/>
    <s v="David Leitch"/>
    <s v="Metro-Goldwyn-Mayer/Imagine Entertainment/87North Productions"/>
    <s v="R"/>
    <s v="Adult"/>
  </r>
  <r>
    <s v="Way of the Warrior Kid"/>
    <x v="0"/>
    <s v="November"/>
    <x v="2"/>
    <n v="8.1999999999999993"/>
    <s v="Watch"/>
    <s v="Good"/>
    <s v="Best"/>
    <n v="130"/>
    <m/>
    <x v="238"/>
    <x v="238"/>
    <s v="McG"/>
    <s v="Apple TV/Apple Studios/Skydance Media/Wonderland Sound and Vision/FilmNation Entertainment"/>
    <s v="PG-13"/>
    <s v="Kid"/>
  </r>
  <r>
    <s v="Steps"/>
    <x v="0"/>
    <s v="November"/>
    <x v="0"/>
    <n v="7.2"/>
    <s v="Watch"/>
    <s v="Good"/>
    <s v="Good"/>
    <n v="93"/>
    <m/>
    <x v="239"/>
    <x v="239"/>
    <s v="Alyce Tzue, John Ripa"/>
    <s v="Netflix/Netflix Animation Studios/Paper Kite Productions"/>
    <s v="PG-13"/>
    <s v="Kid"/>
  </r>
  <r>
    <s v="Elsinore"/>
    <x v="0"/>
    <s v="November"/>
    <x v="1"/>
    <n v="8.1"/>
    <s v="Watch"/>
    <s v="Good"/>
    <s v="Best"/>
    <n v="99"/>
    <m/>
    <x v="216"/>
    <x v="216"/>
    <s v="Simon Stone"/>
    <s v="Focus Features/StudioCanal/LD Entertainment"/>
    <s v="PG-13"/>
    <s v="Kid"/>
  </r>
  <r>
    <s v="Hexed"/>
    <x v="0"/>
    <s v="November"/>
    <x v="0"/>
    <n v="7.2"/>
    <s v="Watch"/>
    <s v="Good"/>
    <s v="Good"/>
    <n v="135"/>
    <m/>
    <x v="240"/>
    <x v="240"/>
    <s v="Fawn Veerasunthorn, Jason Hand"/>
    <s v="Walt Disney Pictures/Walt Disney Animation Studios"/>
    <s v="PG-13"/>
    <s v="Kid"/>
  </r>
  <r>
    <s v="The Adventures of Cliff Booth"/>
    <x v="0"/>
    <s v="November"/>
    <x v="1"/>
    <n v="7.9"/>
    <s v="Watch"/>
    <s v="Good"/>
    <s v="Good"/>
    <n v="145"/>
    <m/>
    <x v="241"/>
    <x v="241"/>
    <s v="David Fincher"/>
    <s v="Netflix/Plan B Entertainment/Heyday Films"/>
    <s v="PG-13"/>
    <s v="Kid"/>
  </r>
  <r>
    <s v="Hershey"/>
    <x v="0"/>
    <s v="November"/>
    <x v="5"/>
    <n v="7.5"/>
    <s v="Watch"/>
    <s v="Good"/>
    <s v="Good"/>
    <n v="144"/>
    <m/>
    <x v="242"/>
    <x v="242"/>
    <s v="Mark Waters"/>
    <s v="Angel Studios"/>
    <s v="PG-13"/>
    <s v="Kid"/>
  </r>
  <r>
    <s v="Digger"/>
    <x v="0"/>
    <s v="October"/>
    <x v="2"/>
    <n v="7.3"/>
    <s v="Watch"/>
    <s v="Good"/>
    <s v="Good"/>
    <n v="160"/>
    <m/>
    <x v="243"/>
    <x v="243"/>
    <m/>
    <s v="Warner Bros. Pictures/Legendary Pictures/TC Productions"/>
    <s v="PG-13"/>
    <s v="Kid"/>
  </r>
  <r>
    <s v="Love of Your Life"/>
    <x v="0"/>
    <s v="October"/>
    <x v="2"/>
    <n v="8.5"/>
    <s v="Watch"/>
    <s v="Good"/>
    <s v="Best"/>
    <n v="121"/>
    <m/>
    <x v="244"/>
    <x v="244"/>
    <s v="Rachel Morrison"/>
    <s v="Amazon MGM Studios/Open Invite Entertainment"/>
    <s v="PG-13"/>
    <s v="Kid"/>
  </r>
  <r>
    <s v="Street Fighter"/>
    <x v="0"/>
    <s v="October"/>
    <x v="1"/>
    <n v="6.3"/>
    <s v="Don't Watch"/>
    <s v="Avg"/>
    <s v="Avg"/>
    <n v="117"/>
    <m/>
    <x v="48"/>
    <x v="48"/>
    <s v="Kitao Sakurai"/>
    <s v="Paramount Pictures/Legendary Pictures/Capcom"/>
    <s v="PG-13"/>
    <s v="Kid"/>
  </r>
  <r>
    <s v="Clayface"/>
    <x v="0"/>
    <s v="October"/>
    <x v="16"/>
    <n v="7.3"/>
    <s v="Watch"/>
    <s v="Good"/>
    <s v="Good"/>
    <n v="133"/>
    <m/>
    <x v="245"/>
    <x v="245"/>
    <s v="James Watkins"/>
    <s v="Warner Bros. Pictures/DC Studios/6th &amp; Idaho Productions"/>
    <s v="PG-13"/>
    <s v="Kid"/>
  </r>
  <r>
    <s v="Christmas at the Kringles"/>
    <x v="0"/>
    <s v="October"/>
    <x v="1"/>
    <n v="6.7"/>
    <s v="Watch"/>
    <s v="Avg"/>
    <s v="Avg"/>
    <n v="94"/>
    <m/>
    <x v="246"/>
    <x v="246"/>
    <s v="Kevin Lewis"/>
    <s v="Briarcliff Entertainment"/>
    <s v="PG-13"/>
    <s v="Kid"/>
  </r>
  <r>
    <s v="Verity"/>
    <x v="0"/>
    <s v="October"/>
    <x v="5"/>
    <n v="8.9"/>
    <s v="Watch"/>
    <s v="Best"/>
    <s v="Best"/>
    <n v="134"/>
    <m/>
    <x v="247"/>
    <x v="247"/>
    <s v="Michael Showalter"/>
    <s v="Metro-Goldwyn-Mayer/Shiny Penny Productions"/>
    <s v="PG-13"/>
    <s v="Kid"/>
  </r>
  <r>
    <s v="California Schemin'"/>
    <x v="0"/>
    <s v="October"/>
    <x v="1"/>
    <n v="8.9"/>
    <s v="Watch"/>
    <s v="Best"/>
    <s v="Best"/>
    <n v="164"/>
    <m/>
    <x v="248"/>
    <x v="248"/>
    <s v="James McAvoy"/>
    <s v="Magenta Light Studios"/>
    <s v="PG-13"/>
    <s v="Kid"/>
  </r>
  <r>
    <s v="Crawlers"/>
    <x v="0"/>
    <s v="October"/>
    <x v="2"/>
    <n v="8.3000000000000007"/>
    <s v="Watch"/>
    <s v="Good"/>
    <s v="Best"/>
    <n v="101"/>
    <m/>
    <x v="249"/>
    <x v="249"/>
    <s v="Angel Gómez Hernandez"/>
    <s v="Roadside Attractions/Saban Films/Thunder Road Films"/>
    <s v="PG-13"/>
    <s v="Kid"/>
  </r>
  <r>
    <s v="Nickels"/>
    <x v="0"/>
    <s v="October"/>
    <x v="1"/>
    <n v="6"/>
    <s v="Don't Watch"/>
    <s v="Avg"/>
    <s v="Avg"/>
    <n v="129"/>
    <m/>
    <x v="89"/>
    <x v="89"/>
    <s v="Spencer King"/>
    <s v="Briarcliff Entertainment"/>
    <s v="PG-13"/>
    <s v="Kid"/>
  </r>
  <r>
    <s v="Other Mommy"/>
    <x v="0"/>
    <s v="October"/>
    <x v="7"/>
    <n v="9"/>
    <s v="Watch"/>
    <s v="Best"/>
    <s v="Best"/>
    <n v="114"/>
    <m/>
    <x v="250"/>
    <x v="250"/>
    <s v="Rob Savage"/>
    <s v="Universal Pictures/Blumhouse Productions/Atomic Monster"/>
    <s v="R"/>
    <s v="Adult"/>
  </r>
  <r>
    <s v="Tenzing"/>
    <x v="0"/>
    <s v="October"/>
    <x v="7"/>
    <n v="8.1999999999999993"/>
    <s v="Watch"/>
    <s v="Good"/>
    <s v="Best"/>
    <n v="151"/>
    <m/>
    <x v="251"/>
    <x v="251"/>
    <s v="Jennifer Peedom"/>
    <s v="Apple Original Films/Apple Studios/See-Saw Films"/>
    <s v="R"/>
    <s v="Adult"/>
  </r>
  <r>
    <s v="Matchbox: The Movie"/>
    <x v="0"/>
    <s v="October"/>
    <x v="1"/>
    <n v="6.9"/>
    <s v="Watch"/>
    <s v="Avg"/>
    <s v="Avg"/>
    <n v="111"/>
    <m/>
    <x v="252"/>
    <x v="252"/>
    <s v="Sam Hargrave"/>
    <s v="Apple TV/Apple Studios/Skydance Media/Mattel Studios"/>
    <s v="PG-13"/>
    <s v="Kid"/>
  </r>
  <r>
    <s v="Angel and the Badman"/>
    <x v="0"/>
    <s v="October"/>
    <x v="5"/>
    <n v="8.1"/>
    <s v="Watch"/>
    <s v="Good"/>
    <s v="Best"/>
    <n v="156"/>
    <m/>
    <x v="253"/>
    <x v="253"/>
    <s v="Julio Quintana"/>
    <s v="Angel Studios"/>
    <s v="PG-13"/>
    <s v="Kid"/>
  </r>
  <r>
    <s v="Whalefall"/>
    <x v="0"/>
    <s v="October"/>
    <x v="1"/>
    <n v="6.1"/>
    <s v="Don't Watch"/>
    <s v="Avg"/>
    <s v="Avg"/>
    <n v="103"/>
    <m/>
    <x v="254"/>
    <x v="254"/>
    <m/>
    <s v="20th Century Studios/Imagine Entertainment/3 Arts Entertainment"/>
    <s v="PG-13"/>
    <s v="Kid"/>
  </r>
  <r>
    <s v="Sense and Sensibility"/>
    <x v="0"/>
    <s v="October"/>
    <x v="1"/>
    <n v="7.5"/>
    <s v="Watch"/>
    <s v="Good"/>
    <s v="Good"/>
    <n v="114"/>
    <m/>
    <x v="255"/>
    <x v="255"/>
    <s v="Georgia Oakley"/>
    <s v="Focus Features/Working Title Films"/>
    <s v="PG-13"/>
    <s v="Kid"/>
  </r>
  <r>
    <s v="Klara and the Sun"/>
    <x v="0"/>
    <s v="October"/>
    <x v="1"/>
    <n v="8"/>
    <s v="Watch"/>
    <s v="Good"/>
    <s v="Good"/>
    <n v="116"/>
    <m/>
    <x v="256"/>
    <x v="256"/>
    <m/>
    <s v="Columbia Pictures/3000 Pictures/Spyglass Media Group/Heyday Films/Piki Films"/>
    <s v="PG-13"/>
    <s v="Kid"/>
  </r>
  <r>
    <s v="Wildwood"/>
    <x v="0"/>
    <s v="October"/>
    <x v="1"/>
    <n v="8.9"/>
    <s v="Watch"/>
    <s v="Best"/>
    <s v="Best"/>
    <n v="107"/>
    <m/>
    <x v="257"/>
    <x v="257"/>
    <s v="Travis Knight"/>
    <s v="Fathom Entertainment/Laika"/>
    <s v="PG-13"/>
    <s v="Kid"/>
  </r>
  <r>
    <s v="Possible Love"/>
    <x v="0"/>
    <s v="October"/>
    <x v="6"/>
    <n v="9"/>
    <s v="Watch"/>
    <s v="Best"/>
    <s v="Best"/>
    <n v="162"/>
    <m/>
    <x v="258"/>
    <x v="258"/>
    <m/>
    <s v="Netflix/Anonymous Content"/>
    <s v="PG-13"/>
    <s v="Kid"/>
  </r>
  <r>
    <s v="A Talent for Murder"/>
    <x v="0"/>
    <s v="October"/>
    <x v="1"/>
    <n v="8.4"/>
    <s v="Watch"/>
    <s v="Good"/>
    <s v="Best"/>
    <n v="93"/>
    <m/>
    <x v="259"/>
    <x v="259"/>
    <s v="Anton Corbijn"/>
    <s v="Bleecker Street/LD Entertainment"/>
    <s v="PG-13"/>
    <s v="Kid"/>
  </r>
  <r>
    <s v="The Mongoose"/>
    <x v="0"/>
    <s v="October"/>
    <x v="5"/>
    <n v="7.8"/>
    <s v="Watch"/>
    <s v="Good"/>
    <s v="Good"/>
    <n v="126"/>
    <m/>
    <x v="39"/>
    <x v="39"/>
    <s v="Mark Vanselow"/>
    <s v="Samuel Goldwyn Films"/>
    <s v="PG-13"/>
    <s v="Kid"/>
  </r>
  <r>
    <s v="Stiletto"/>
    <x v="0"/>
    <s v="October"/>
    <x v="7"/>
    <n v="7.1"/>
    <s v="Watch"/>
    <s v="Good"/>
    <s v="Good"/>
    <n v="122"/>
    <m/>
    <x v="260"/>
    <x v="260"/>
    <m/>
    <s v="The Horror Section"/>
    <s v="R"/>
    <s v="Adult"/>
  </r>
  <r>
    <s v="Fall 2: Deadpoint"/>
    <x v="0"/>
    <s v="September"/>
    <x v="1"/>
    <n v="6.3"/>
    <s v="Don't Watch"/>
    <s v="Avg"/>
    <s v="Avg"/>
    <n v="141"/>
    <m/>
    <x v="261"/>
    <x v="261"/>
    <s v="Peter and Michael Spierig"/>
    <s v="Lionsgate/Grindstone Entertainment Group"/>
    <s v="PG-13"/>
    <s v="Kid"/>
  </r>
  <r>
    <s v="By Any Means"/>
    <x v="0"/>
    <s v="September"/>
    <x v="1"/>
    <n v="6.4"/>
    <s v="Don't Watch"/>
    <s v="Avg"/>
    <s v="Avg"/>
    <n v="163"/>
    <m/>
    <x v="262"/>
    <x v="262"/>
    <s v="Elegance Bratton"/>
    <s v="Paramount Pictures/Hammerstone Studios/Thunder Road"/>
    <s v="PG-13"/>
    <s v="Kid"/>
  </r>
  <r>
    <s v="Practical Magic 2"/>
    <x v="0"/>
    <s v="September"/>
    <x v="2"/>
    <n v="6.5"/>
    <s v="Don't Watch"/>
    <s v="Avg"/>
    <s v="Avg"/>
    <n v="101"/>
    <m/>
    <x v="263"/>
    <x v="263"/>
    <s v="Susanne Bier"/>
    <s v="Warner Bros. Pictures/Alcon Entertainment/Fortis Films/Blossom Films"/>
    <s v="PG-13"/>
    <s v="Kid"/>
  </r>
  <r>
    <s v="Resident Evil"/>
    <x v="0"/>
    <s v="September"/>
    <x v="7"/>
    <n v="8.1"/>
    <s v="Watch"/>
    <s v="Good"/>
    <s v="Best"/>
    <n v="153"/>
    <m/>
    <x v="264"/>
    <x v="264"/>
    <m/>
    <s v="Columbia Pictures/Constantin Film/Davis Films/Vertigo Entertainment/PlayStation Productions"/>
    <s v="R"/>
    <s v="Adult"/>
  </r>
  <r>
    <s v="The Love Hypothesis"/>
    <x v="0"/>
    <s v="September"/>
    <x v="1"/>
    <n v="8.9"/>
    <s v="Watch"/>
    <s v="Best"/>
    <s v="Best"/>
    <n v="122"/>
    <m/>
    <x v="265"/>
    <x v="265"/>
    <s v="Claire Scanlon"/>
    <s v="Amazon MGM Studios/MRC"/>
    <s v="PG-13"/>
    <s v="Kid"/>
  </r>
  <r>
    <s v="Onslaught"/>
    <x v="0"/>
    <s v="September"/>
    <x v="2"/>
    <n v="6.5"/>
    <s v="Don't Watch"/>
    <s v="Avg"/>
    <s v="Avg"/>
    <n v="140"/>
    <m/>
    <x v="266"/>
    <x v="266"/>
    <s v="Adam Wingard"/>
    <s v="A24/Lyrical Media"/>
    <s v="PG-13"/>
    <s v="Kid"/>
  </r>
  <r>
    <s v="Virginia Woolf's Night and Day"/>
    <x v="0"/>
    <s v="September"/>
    <x v="2"/>
    <n v="9.1999999999999993"/>
    <s v="Watch"/>
    <s v="Best"/>
    <s v="Best"/>
    <n v="116"/>
    <m/>
    <x v="267"/>
    <x v="267"/>
    <s v="Tina Gharavi"/>
    <s v="Quiver Distribution"/>
    <s v="PG-13"/>
    <s v="Kid"/>
  </r>
  <r>
    <s v="Runner"/>
    <x v="0"/>
    <s v="September"/>
    <x v="12"/>
    <n v="8"/>
    <s v="Watch"/>
    <s v="Good"/>
    <s v="Good"/>
    <n v="125"/>
    <m/>
    <x v="268"/>
    <x v="268"/>
    <s v="Scott Waugh"/>
    <s v="Angel Studios"/>
    <s v="PG-13"/>
    <s v="Kid"/>
  </r>
  <r>
    <s v="The Fix"/>
    <x v="0"/>
    <s v="September"/>
    <x v="1"/>
    <n v="6.2"/>
    <s v="Don't Watch"/>
    <s v="Avg"/>
    <s v="Avg"/>
    <n v="107"/>
    <m/>
    <x v="269"/>
    <x v="269"/>
    <m/>
    <s v="Inaugural Entertainment / Astral Future"/>
    <s v="PG-13"/>
    <s v="Kid"/>
  </r>
  <r>
    <s v="Don't Move"/>
    <x v="0"/>
    <s v="September"/>
    <x v="1"/>
    <n v="6.5"/>
    <s v="Don't Watch"/>
    <s v="Avg"/>
    <s v="Avg"/>
    <n v="149"/>
    <m/>
    <x v="270"/>
    <x v="270"/>
    <m/>
    <s v="Impractical Studios / Redline Entertainment"/>
    <s v="PG-13"/>
    <s v="Kid"/>
  </r>
  <r>
    <s v="The Weight"/>
    <x v="0"/>
    <s v="September"/>
    <x v="0"/>
    <n v="8.6"/>
    <s v="Watch"/>
    <s v="Best"/>
    <s v="Best"/>
    <n v="128"/>
    <m/>
    <x v="271"/>
    <x v="271"/>
    <s v="Padraic McKinley"/>
    <s v="Vertical"/>
    <s v="PG-13"/>
    <s v="Kid"/>
  </r>
  <r>
    <s v="Best of the Best"/>
    <x v="0"/>
    <s v="September"/>
    <x v="1"/>
    <n v="8"/>
    <s v="Watch"/>
    <s v="Good"/>
    <s v="Good"/>
    <n v="92"/>
    <m/>
    <x v="272"/>
    <x v="272"/>
    <s v="Lena Khan"/>
    <s v="Netflix/Rideback"/>
    <s v="PG-13"/>
    <s v="Kid"/>
  </r>
  <r>
    <s v="The Musical"/>
    <x v="0"/>
    <s v="September"/>
    <x v="1"/>
    <n v="8.9"/>
    <s v="Watch"/>
    <s v="Best"/>
    <s v="Best"/>
    <n v="155"/>
    <m/>
    <x v="273"/>
    <x v="273"/>
    <s v="Giselle Bonilla"/>
    <s v="Blue Harbor Entertainment /Variance Films"/>
    <s v="PG-13"/>
    <s v="Kid"/>
  </r>
  <r>
    <s v="Last Train to Fortune"/>
    <x v="0"/>
    <s v="September"/>
    <x v="1"/>
    <n v="6.9"/>
    <s v="Watch"/>
    <s v="Avg"/>
    <s v="Avg"/>
    <n v="117"/>
    <m/>
    <x v="274"/>
    <x v="274"/>
    <s v="Adam Rifkin"/>
    <s v="TriCoast Worldwide / Vitagraph Films"/>
    <s v="PG-13"/>
    <s v="Kid"/>
  </r>
  <r>
    <s v="Heart of the Beast"/>
    <x v="0"/>
    <s v="September"/>
    <x v="1"/>
    <n v="8.1"/>
    <s v="Watch"/>
    <s v="Good"/>
    <s v="Best"/>
    <n v="141"/>
    <m/>
    <x v="275"/>
    <x v="275"/>
    <s v="David Ayer"/>
    <s v="Paramount Pictures/Temple Hill Entertainment"/>
    <s v="PG-13"/>
    <s v="Kid"/>
  </r>
  <r>
    <s v="Primetime"/>
    <x v="0"/>
    <s v="September"/>
    <x v="13"/>
    <n v="8.9"/>
    <s v="Watch"/>
    <s v="Best"/>
    <s v="Best"/>
    <n v="131"/>
    <m/>
    <x v="139"/>
    <x v="139"/>
    <s v="Lance Oppenheim"/>
    <s v="A24/Square Peg"/>
    <s v="PG-13"/>
    <s v="Kid"/>
  </r>
  <r>
    <s v="Unabomber"/>
    <x v="0"/>
    <s v="September"/>
    <x v="1"/>
    <n v="7.2"/>
    <s v="Watch"/>
    <s v="Good"/>
    <s v="Good"/>
    <n v="114"/>
    <m/>
    <x v="276"/>
    <x v="276"/>
    <s v="Janus Metz"/>
    <s v="Netflix/2.0 Entertainment/MRC"/>
    <s v="PG-13"/>
    <s v="Kid"/>
  </r>
  <r>
    <s v="Charlie Harper"/>
    <x v="0"/>
    <s v="September"/>
    <x v="1"/>
    <n v="9.1"/>
    <s v="Watch"/>
    <s v="Best"/>
    <s v="Best"/>
    <n v="154"/>
    <m/>
    <x v="277"/>
    <x v="277"/>
    <s v="Mac Eldridge"/>
    <s v="Row K Entertainment/Temple Hill Entertainment"/>
    <s v="PG-13"/>
    <s v="Kid"/>
  </r>
  <r>
    <s v="Ha-Chan, Shake Your Booty!"/>
    <x v="0"/>
    <s v="September"/>
    <x v="3"/>
    <n v="7.5"/>
    <s v="Watch"/>
    <s v="Good"/>
    <s v="Good"/>
    <n v="129"/>
    <m/>
    <x v="278"/>
    <x v="278"/>
    <m/>
    <s v="Sony Pictures Classics"/>
    <s v="PG-13"/>
    <s v="Kid"/>
  </r>
  <r>
    <s v="April X"/>
    <x v="0"/>
    <s v="September"/>
    <x v="12"/>
    <n v="7"/>
    <s v="Watch"/>
    <s v="Avg"/>
    <s v="Good"/>
    <n v="115"/>
    <m/>
    <x v="279"/>
    <x v="279"/>
    <m/>
    <s v="Rialto Pictures/ Lavi Star / Redflyingfox"/>
    <s v="PG-13"/>
    <s v="Kid"/>
  </r>
  <r>
    <s v="The Deputy"/>
    <x v="0"/>
    <s v="September"/>
    <x v="1"/>
    <n v="7.2"/>
    <s v="Watch"/>
    <s v="Good"/>
    <s v="Good"/>
    <n v="147"/>
    <m/>
    <x v="280"/>
    <x v="280"/>
    <s v="Matt Sukkar"/>
    <s v="Well Go USA Entertainment"/>
    <s v="PG-13"/>
    <s v="Kid"/>
  </r>
  <r>
    <s v="Screamboat"/>
    <x v="1"/>
    <s v="April"/>
    <x v="7"/>
    <n v="7.4"/>
    <s v="Watch"/>
    <s v="Good"/>
    <s v="Good"/>
    <n v="140"/>
    <m/>
    <x v="281"/>
    <x v="281"/>
    <m/>
    <s v="Iconic Events Releasing"/>
    <s v="R"/>
    <s v="Adult"/>
  </r>
  <r>
    <s v="A Minecraft Movie"/>
    <x v="1"/>
    <s v="April"/>
    <x v="2"/>
    <n v="8.3000000000000007"/>
    <s v="Watch"/>
    <s v="Good"/>
    <s v="Best"/>
    <n v="152"/>
    <m/>
    <x v="282"/>
    <x v="282"/>
    <s v="Jared Hess"/>
    <s v="Warner Bros. Pictures/Legendary Entertainment/Mojang Studios/Vertigo Entertainment"/>
    <s v="PG-13"/>
    <s v="Kid"/>
  </r>
  <r>
    <s v="G20"/>
    <x v="1"/>
    <s v="April"/>
    <x v="16"/>
    <n v="7.6"/>
    <s v="Watch"/>
    <s v="Good"/>
    <s v="Good"/>
    <n v="109"/>
    <m/>
    <x v="283"/>
    <x v="283"/>
    <s v="Patricia Riggen"/>
    <s v="Amazon MGM Studios/JuVee Productions/Mad Chance Productions/MRC"/>
    <s v="PG-13"/>
    <s v="Kid"/>
  </r>
  <r>
    <s v="The Amateur"/>
    <x v="1"/>
    <s v="April"/>
    <x v="1"/>
    <n v="8.9"/>
    <s v="Watch"/>
    <s v="Best"/>
    <s v="Best"/>
    <n v="155"/>
    <m/>
    <x v="273"/>
    <x v="273"/>
    <s v="James Hawes"/>
    <s v="20th Century Studios"/>
    <s v="PG-13"/>
    <s v="Kid"/>
  </r>
  <r>
    <s v="The Accountant 2"/>
    <x v="1"/>
    <s v="April"/>
    <x v="1"/>
    <n v="6.3"/>
    <s v="Don't Watch"/>
    <s v="Avg"/>
    <s v="Avg"/>
    <n v="108"/>
    <m/>
    <x v="284"/>
    <x v="284"/>
    <s v="Gavin O'Connor"/>
    <s v="Metro-Goldwyn-Mayer/Artists Equity"/>
    <s v="PG-13"/>
    <s v="Kid"/>
  </r>
  <r>
    <s v="The Luckiest Man in America"/>
    <x v="1"/>
    <s v="April"/>
    <x v="1"/>
    <n v="7.2"/>
    <s v="Watch"/>
    <s v="Good"/>
    <s v="Good"/>
    <n v="132"/>
    <m/>
    <x v="285"/>
    <x v="285"/>
    <m/>
    <s v="IFC Films/Sapan Studio"/>
    <s v="PG-13"/>
    <s v="Kid"/>
  </r>
  <r>
    <s v="Eric Larue"/>
    <x v="1"/>
    <s v="April"/>
    <x v="5"/>
    <n v="7.2"/>
    <s v="Watch"/>
    <s v="Good"/>
    <s v="Good"/>
    <n v="114"/>
    <m/>
    <x v="276"/>
    <x v="276"/>
    <s v="Michael Shannon"/>
    <s v="Magnolia Pictures"/>
    <s v="PG-13"/>
    <s v="Kid"/>
  </r>
  <r>
    <s v="A Nice Indian Boy"/>
    <x v="1"/>
    <s v="April"/>
    <x v="1"/>
    <n v="9"/>
    <s v="Watch"/>
    <s v="Best"/>
    <s v="Best"/>
    <n v="102"/>
    <m/>
    <x v="286"/>
    <x v="286"/>
    <s v="Roshan Sethi"/>
    <s v="Blue Harbor Entertainment"/>
    <s v="PG-13"/>
    <s v="Kid"/>
  </r>
  <r>
    <s v="Gazer"/>
    <x v="1"/>
    <s v="April"/>
    <x v="8"/>
    <n v="8.1999999999999993"/>
    <s v="Watch"/>
    <s v="Good"/>
    <s v="Best"/>
    <n v="145"/>
    <m/>
    <x v="287"/>
    <x v="287"/>
    <m/>
    <s v="Metrograph Pictures"/>
    <s v="R"/>
    <s v="Adult"/>
  </r>
  <r>
    <s v="V13"/>
    <x v="1"/>
    <s v="April"/>
    <x v="1"/>
    <n v="6"/>
    <s v="Don't Watch"/>
    <s v="Avg"/>
    <s v="Avg"/>
    <n v="126"/>
    <m/>
    <x v="288"/>
    <x v="288"/>
    <m/>
    <s v="Deskpop Entertainment / Footnote Four / Vienna 1913 Productions"/>
    <s v="PG-13"/>
    <s v="Kid"/>
  </r>
  <r>
    <s v="Drop"/>
    <x v="1"/>
    <s v="April"/>
    <x v="7"/>
    <n v="8.1"/>
    <s v="Watch"/>
    <s v="Good"/>
    <s v="Best"/>
    <n v="120"/>
    <m/>
    <x v="289"/>
    <x v="289"/>
    <s v="Christopher Landon"/>
    <s v="Universal Pictures/Blumhouse Productions/Platinum Dunes"/>
    <s v="R"/>
    <s v="Adult"/>
  </r>
  <r>
    <s v="Sacramento"/>
    <x v="1"/>
    <s v="April"/>
    <x v="2"/>
    <n v="8.6"/>
    <s v="Watch"/>
    <s v="Best"/>
    <s v="Best"/>
    <n v="152"/>
    <m/>
    <x v="290"/>
    <x v="290"/>
    <m/>
    <s v="Vertical"/>
    <s v="PG-13"/>
    <s v="Kid"/>
  </r>
  <r>
    <s v="Home Sweet Home Rebirth"/>
    <x v="1"/>
    <s v="April"/>
    <x v="17"/>
    <n v="8.1999999999999993"/>
    <s v="Watch"/>
    <s v="Good"/>
    <s v="Best"/>
    <n v="112"/>
    <m/>
    <x v="291"/>
    <x v="291"/>
    <s v="Alexander Kiesl, Steffen Hacker"/>
    <s v="Vertical/Yggdrazil Group"/>
    <s v="PG-13"/>
    <s v="Kid"/>
  </r>
  <r>
    <s v="Sneaks"/>
    <x v="1"/>
    <s v="April"/>
    <x v="0"/>
    <n v="9.1"/>
    <s v="Watch"/>
    <s v="Best"/>
    <s v="Best"/>
    <n v="103"/>
    <m/>
    <x v="292"/>
    <x v="292"/>
    <s v="Chris Jenkins"/>
    <s v="Briarcliff Entertainment/Cinema Gypsy Productions/Assemblage Entertainment/GFM Animation"/>
    <s v="PG-13"/>
    <s v="Kid"/>
  </r>
  <r>
    <s v="The Wedding Banquet"/>
    <x v="1"/>
    <s v="April"/>
    <x v="19"/>
    <n v="6.9"/>
    <s v="Watch"/>
    <s v="Avg"/>
    <s v="Avg"/>
    <n v="144"/>
    <m/>
    <x v="293"/>
    <x v="293"/>
    <m/>
    <s v="Bleecker Street/ShivHans Pictures"/>
    <s v="PG-13"/>
    <s v="Kid"/>
  </r>
  <r>
    <s v="Until Dawn"/>
    <x v="1"/>
    <s v="April"/>
    <x v="1"/>
    <n v="6.5"/>
    <s v="Don't Watch"/>
    <s v="Avg"/>
    <s v="Avg"/>
    <n v="140"/>
    <m/>
    <x v="266"/>
    <x v="266"/>
    <s v="David F. Sandberg"/>
    <s v="Screen Gems/PlayStation Productions/Vertigo Entertainment"/>
    <s v="PG-13"/>
    <s v="Kid"/>
  </r>
  <r>
    <s v="On Swift Horses"/>
    <x v="1"/>
    <s v="April"/>
    <x v="1"/>
    <n v="9.1999999999999993"/>
    <s v="Watch"/>
    <s v="Best"/>
    <s v="Best"/>
    <n v="146"/>
    <m/>
    <x v="294"/>
    <x v="294"/>
    <s v="Daniel Minahan"/>
    <s v="Sony Pictures Classics/Ley Line Entertainment"/>
    <s v="PG-13"/>
    <s v="Kid"/>
  </r>
  <r>
    <s v="Winter Spring Summer or Fall"/>
    <x v="1"/>
    <s v="April"/>
    <x v="6"/>
    <n v="6.1"/>
    <s v="Don't Watch"/>
    <s v="Avg"/>
    <s v="Avg"/>
    <n v="94"/>
    <m/>
    <x v="295"/>
    <x v="295"/>
    <s v="Tiffany Paulsen"/>
    <s v="Republic Pictures/Motion Picture Corporation of America"/>
    <s v="PG-13"/>
    <s v="Kid"/>
  </r>
  <r>
    <s v="Neighborhood Watch"/>
    <x v="1"/>
    <s v="April"/>
    <x v="1"/>
    <n v="6.5"/>
    <s v="Don't Watch"/>
    <s v="Avg"/>
    <s v="Avg"/>
    <n v="140"/>
    <m/>
    <x v="296"/>
    <x v="296"/>
    <s v="Duncan Skiles"/>
    <s v="RLJE Films"/>
    <s v="PG-13"/>
    <s v="Kid"/>
  </r>
  <r>
    <s v="The Bad Guys 2"/>
    <x v="1"/>
    <s v="August"/>
    <x v="0"/>
    <n v="7.2"/>
    <s v="Watch"/>
    <s v="Good"/>
    <s v="Good"/>
    <n v="162"/>
    <m/>
    <x v="297"/>
    <x v="297"/>
    <s v="Pierre Perifel"/>
    <s v="Universal Pictures/DreamWorks Animation"/>
    <s v="PG-13"/>
    <s v="Kid"/>
  </r>
  <r>
    <s v="Fixed"/>
    <x v="1"/>
    <s v="August"/>
    <x v="0"/>
    <n v="7.3"/>
    <s v="Watch"/>
    <s v="Good"/>
    <s v="Good"/>
    <n v="136"/>
    <m/>
    <x v="298"/>
    <x v="298"/>
    <m/>
    <s v="Netflix/Sony Pictures Animation"/>
    <s v="PG-13"/>
    <s v="Kid"/>
  </r>
  <r>
    <s v="Nobody 2"/>
    <x v="1"/>
    <s v="August"/>
    <x v="10"/>
    <n v="8"/>
    <s v="Watch"/>
    <s v="Good"/>
    <s v="Good"/>
    <n v="116"/>
    <m/>
    <x v="299"/>
    <x v="299"/>
    <s v="Timo Tjahjanto"/>
    <s v="Universal Pictures/87North Productions"/>
    <s v="PG-13"/>
    <s v="Kid"/>
  </r>
  <r>
    <s v="The Map That Leads to You"/>
    <x v="1"/>
    <s v="August"/>
    <x v="1"/>
    <n v="6.3"/>
    <s v="Don't Watch"/>
    <s v="Avg"/>
    <s v="Avg"/>
    <n v="159"/>
    <m/>
    <x v="300"/>
    <x v="300"/>
    <s v="Lasse Hallström"/>
    <s v="Amazon MGM Studios/Temple Hill Entertainment"/>
    <s v="PG-13"/>
    <s v="Kid"/>
  </r>
  <r>
    <s v="Honey Don't!"/>
    <x v="1"/>
    <s v="August"/>
    <x v="12"/>
    <n v="7.3"/>
    <s v="Watch"/>
    <s v="Good"/>
    <s v="Good"/>
    <n v="139"/>
    <m/>
    <x v="187"/>
    <x v="187"/>
    <m/>
    <s v="Focus Features/Working Title Films"/>
    <s v="PG-13"/>
    <s v="Kid"/>
  </r>
  <r>
    <s v="The Workout"/>
    <x v="1"/>
    <s v="August"/>
    <x v="1"/>
    <n v="6.7"/>
    <s v="Watch"/>
    <s v="Avg"/>
    <s v="Avg"/>
    <n v="124"/>
    <m/>
    <x v="301"/>
    <x v="301"/>
    <m/>
    <s v="Anchor Bay Entertainment"/>
    <s v="PG-13"/>
    <s v="Kid"/>
  </r>
  <r>
    <s v="The Thursday Murder Club"/>
    <x v="1"/>
    <s v="August"/>
    <x v="1"/>
    <n v="7.8"/>
    <s v="Watch"/>
    <s v="Good"/>
    <s v="Good"/>
    <n v="90"/>
    <m/>
    <x v="302"/>
    <x v="302"/>
    <m/>
    <s v="Netflix/Amblin Entertainment"/>
    <s v="PG-13"/>
    <s v="Kid"/>
  </r>
  <r>
    <s v="Caught Stealing"/>
    <x v="1"/>
    <s v="August"/>
    <x v="6"/>
    <n v="7.9"/>
    <s v="Watch"/>
    <s v="Good"/>
    <s v="Good"/>
    <n v="124"/>
    <m/>
    <x v="227"/>
    <x v="227"/>
    <s v="Darren Aronofsky"/>
    <s v="Columbia Pictures/Protozoa Pictures"/>
    <s v="PG-13"/>
    <s v="Kid"/>
  </r>
  <r>
    <s v="The Naked Gun"/>
    <x v="1"/>
    <s v="August"/>
    <x v="2"/>
    <n v="8.4"/>
    <s v="Watch"/>
    <s v="Good"/>
    <s v="Best"/>
    <n v="99"/>
    <m/>
    <x v="228"/>
    <x v="228"/>
    <m/>
    <s v="Paramount Pictures/Fuzzy Door Productions"/>
    <s v="PG-13"/>
    <s v="Kid"/>
  </r>
  <r>
    <s v="She Rides Shotgun"/>
    <x v="1"/>
    <s v="August"/>
    <x v="2"/>
    <n v="8.6999999999999993"/>
    <s v="Watch"/>
    <s v="Best"/>
    <s v="Best"/>
    <n v="114"/>
    <m/>
    <x v="303"/>
    <x v="303"/>
    <s v="Nick Rowland"/>
    <s v="Lionsgate/Fifth Season"/>
    <s v="PG-13"/>
    <s v="Kid"/>
  </r>
  <r>
    <s v="Queen of Bones"/>
    <x v="1"/>
    <s v="August"/>
    <x v="5"/>
    <n v="7.5"/>
    <s v="Watch"/>
    <s v="Good"/>
    <s v="Good"/>
    <n v="105"/>
    <m/>
    <x v="304"/>
    <x v="304"/>
    <s v="Robert Budreau"/>
    <s v="Vertical/Appian Way Productions"/>
    <s v="PG-13"/>
    <s v="Kid"/>
  </r>
  <r>
    <s v="My Oxford Year"/>
    <x v="1"/>
    <s v="August"/>
    <x v="1"/>
    <n v="7.4"/>
    <s v="Watch"/>
    <s v="Good"/>
    <s v="Good"/>
    <n v="104"/>
    <m/>
    <x v="305"/>
    <x v="305"/>
    <s v="Iain Morris"/>
    <s v="Netflix/Temple Hill Entertainment"/>
    <s v="PG-13"/>
    <s v="Kid"/>
  </r>
  <r>
    <s v="Trouble Man"/>
    <x v="1"/>
    <s v="August"/>
    <x v="1"/>
    <n v="6.5"/>
    <s v="Don't Watch"/>
    <s v="Avg"/>
    <s v="Avg"/>
    <n v="164"/>
    <m/>
    <x v="306"/>
    <x v="306"/>
    <s v="Michael Jai White"/>
    <s v="Samuel Goldwyn Films/Swirl Films"/>
    <s v="PG-13"/>
    <s v="Kid"/>
  </r>
  <r>
    <s v="The Pickup"/>
    <x v="1"/>
    <s v="August"/>
    <x v="1"/>
    <n v="8.9"/>
    <s v="Watch"/>
    <s v="Best"/>
    <s v="Best"/>
    <n v="131"/>
    <m/>
    <x v="139"/>
    <x v="139"/>
    <s v="Tim Story"/>
    <s v="Amazon MGM Studios/Davis Entertainment"/>
    <s v="PG-13"/>
    <s v="Kid"/>
  </r>
  <r>
    <s v="Freakier Friday"/>
    <x v="1"/>
    <s v="August"/>
    <x v="2"/>
    <n v="6.8"/>
    <s v="Watch"/>
    <s v="Avg"/>
    <s v="Avg"/>
    <n v="113"/>
    <m/>
    <x v="307"/>
    <x v="307"/>
    <s v="Nisha Ganatra"/>
    <s v="Walt Disney Pictures/Gunn Films/Burr! Productions"/>
    <s v="PG-13"/>
    <s v="Kid"/>
  </r>
  <r>
    <s v="My Mother's Wedding"/>
    <x v="1"/>
    <s v="August"/>
    <x v="1"/>
    <n v="6.8"/>
    <s v="Watch"/>
    <s v="Avg"/>
    <s v="Avg"/>
    <n v="110"/>
    <m/>
    <x v="308"/>
    <x v="308"/>
    <m/>
    <s v="Vertical/Indian Paintbrush"/>
    <s v="PG-13"/>
    <s v="Kid"/>
  </r>
  <r>
    <s v="The Occupant"/>
    <x v="1"/>
    <s v="August"/>
    <x v="5"/>
    <n v="6.7"/>
    <s v="Watch"/>
    <s v="Avg"/>
    <s v="Avg"/>
    <n v="115"/>
    <m/>
    <x v="309"/>
    <x v="309"/>
    <m/>
    <s v="Decal"/>
    <s v="PG-13"/>
    <s v="Kid"/>
  </r>
  <r>
    <s v="Red Sonja"/>
    <x v="1"/>
    <s v="August"/>
    <x v="5"/>
    <n v="6.9"/>
    <s v="Watch"/>
    <s v="Avg"/>
    <s v="Avg"/>
    <n v="162"/>
    <m/>
    <x v="310"/>
    <x v="310"/>
    <s v="M. J. Bassett"/>
    <s v="Samuel Goldwyn Films/Millennium Media/Cinelou Films"/>
    <s v="PG-13"/>
    <s v="Kid"/>
  </r>
  <r>
    <s v="Highest 2 Lowest"/>
    <x v="1"/>
    <s v="August"/>
    <x v="9"/>
    <n v="8.8000000000000007"/>
    <s v="Watch"/>
    <s v="Best"/>
    <s v="Best"/>
    <n v="133"/>
    <m/>
    <x v="311"/>
    <x v="311"/>
    <s v="Spike Lee"/>
    <s v="Apple Studios/A24/Escape Artists/Mandalay Pictures/40 Acres and a Mule Filmworks"/>
    <s v="R"/>
    <s v="Adult"/>
  </r>
  <r>
    <s v="Night Always Comes"/>
    <x v="1"/>
    <s v="August"/>
    <x v="5"/>
    <n v="8.6999999999999993"/>
    <s v="Watch"/>
    <s v="Best"/>
    <s v="Best"/>
    <n v="138"/>
    <m/>
    <x v="312"/>
    <x v="312"/>
    <s v="Benjamin Caron"/>
    <s v="Netflix"/>
    <s v="PG-13"/>
    <s v="Kid"/>
  </r>
  <r>
    <s v="The Knife"/>
    <x v="1"/>
    <s v="August"/>
    <x v="12"/>
    <n v="6.1"/>
    <s v="Don't Watch"/>
    <s v="Avg"/>
    <s v="Avg"/>
    <n v="154"/>
    <m/>
    <x v="313"/>
    <x v="313"/>
    <m/>
    <s v="Relativity Media/Duplass Brothers Productions"/>
    <s v="PG-13"/>
    <s v="Kid"/>
  </r>
  <r>
    <s v="Under Fire"/>
    <x v="1"/>
    <s v="August"/>
    <x v="1"/>
    <n v="8"/>
    <s v="Watch"/>
    <s v="Good"/>
    <s v="Good"/>
    <n v="122"/>
    <m/>
    <x v="314"/>
    <x v="314"/>
    <s v="Steven C. Miller"/>
    <s v="Vertical/Voltage Pictures"/>
    <s v="PG-13"/>
    <s v="Kid"/>
  </r>
  <r>
    <s v="A Spartan Dream"/>
    <x v="1"/>
    <s v="August"/>
    <x v="5"/>
    <n v="6.6"/>
    <s v="Watch"/>
    <s v="Avg"/>
    <s v="Avg"/>
    <n v="162"/>
    <m/>
    <x v="14"/>
    <x v="14"/>
    <m/>
    <s v="Freestyle Digital Media"/>
    <s v="PG-13"/>
    <s v="Kid"/>
  </r>
  <r>
    <s v="Eden"/>
    <x v="1"/>
    <s v="August"/>
    <x v="2"/>
    <n v="8.9"/>
    <s v="Watch"/>
    <s v="Best"/>
    <s v="Best"/>
    <n v="95"/>
    <m/>
    <x v="315"/>
    <x v="315"/>
    <s v="Ron Howard"/>
    <s v="Vertical/Imagine Entertainment/AGC Studios"/>
    <s v="PG-13"/>
    <s v="Kid"/>
  </r>
  <r>
    <s v="Relay"/>
    <x v="1"/>
    <s v="August"/>
    <x v="6"/>
    <n v="8.6"/>
    <s v="Watch"/>
    <s v="Best"/>
    <s v="Best"/>
    <n v="149"/>
    <m/>
    <x v="316"/>
    <x v="316"/>
    <s v="David Mackenzie"/>
    <s v="Bleecker Street/Black Bear Pictures/Thunder Road Films"/>
    <s v="PG-13"/>
    <s v="Kid"/>
  </r>
  <r>
    <s v="Splitsville"/>
    <x v="1"/>
    <s v="August"/>
    <x v="5"/>
    <n v="6.3"/>
    <s v="Don't Watch"/>
    <s v="Avg"/>
    <s v="Avg"/>
    <n v="144"/>
    <m/>
    <x v="172"/>
    <x v="172"/>
    <m/>
    <s v="Neon/Topic Studios"/>
    <s v="PG-13"/>
    <s v="Kid"/>
  </r>
  <r>
    <s v="Afterburn"/>
    <x v="1"/>
    <s v="August"/>
    <x v="11"/>
    <n v="8.5"/>
    <s v="Watch"/>
    <s v="Good"/>
    <s v="Best"/>
    <n v="127"/>
    <m/>
    <x v="222"/>
    <x v="222"/>
    <s v="J. J. Perry"/>
    <s v="Saban Films/Original Film"/>
    <s v="PG-13"/>
    <s v="Kid"/>
  </r>
  <r>
    <s v="Trust"/>
    <x v="1"/>
    <s v="August"/>
    <x v="4"/>
    <n v="9"/>
    <s v="Watch"/>
    <s v="Best"/>
    <s v="Best"/>
    <n v="111"/>
    <m/>
    <x v="317"/>
    <x v="317"/>
    <s v="Carlson Young"/>
    <s v="Republic Pictures/Twisted Pictures"/>
    <s v="PG-13"/>
    <s v="Kid"/>
  </r>
  <r>
    <s v="The Roses"/>
    <x v="1"/>
    <s v="August"/>
    <x v="8"/>
    <n v="9.1999999999999993"/>
    <s v="Watch"/>
    <s v="Best"/>
    <s v="Best"/>
    <n v="110"/>
    <m/>
    <x v="318"/>
    <x v="318"/>
    <s v="Jay Roach"/>
    <s v="Searchlight Pictures"/>
    <s v="R"/>
    <s v="Adult"/>
  </r>
  <r>
    <s v="Love, Brooklyn"/>
    <x v="1"/>
    <s v="August"/>
    <x v="1"/>
    <n v="8.1999999999999993"/>
    <s v="Watch"/>
    <s v="Good"/>
    <s v="Best"/>
    <n v="145"/>
    <m/>
    <x v="156"/>
    <x v="156"/>
    <s v="Rachel Abigail Holder"/>
    <s v="Greenwich Entertainment"/>
    <s v="PG-13"/>
    <s v="Kid"/>
  </r>
  <r>
    <s v="Savage Hunt"/>
    <x v="1"/>
    <s v="December"/>
    <x v="4"/>
    <n v="6.2"/>
    <s v="Don't Watch"/>
    <s v="Avg"/>
    <s v="Avg"/>
    <n v="161"/>
    <m/>
    <x v="319"/>
    <x v="319"/>
    <s v="Roel Reiné"/>
    <s v="Shout! Studios"/>
    <s v="PG-13"/>
    <s v="Kid"/>
  </r>
  <r>
    <s v="Oh. What. Fun."/>
    <x v="1"/>
    <s v="December"/>
    <x v="2"/>
    <n v="6.9"/>
    <s v="Watch"/>
    <s v="Avg"/>
    <s v="Avg"/>
    <n v="126"/>
    <m/>
    <x v="320"/>
    <x v="320"/>
    <m/>
    <s v="Amazon MGM Studios/Tribeca Enterprises"/>
    <s v="PG-13"/>
    <s v="Kid"/>
  </r>
  <r>
    <s v="Five Nights at Freddy's 2"/>
    <x v="1"/>
    <s v="December"/>
    <x v="7"/>
    <n v="6"/>
    <s v="Don't Watch"/>
    <s v="Avg"/>
    <s v="Avg"/>
    <n v="156"/>
    <m/>
    <x v="321"/>
    <x v="321"/>
    <m/>
    <s v="Universal Pictures/Blumhouse Productions"/>
    <s v="R"/>
    <s v="Adult"/>
  </r>
  <r>
    <s v="Merv"/>
    <x v="1"/>
    <s v="December"/>
    <x v="2"/>
    <n v="8.6"/>
    <s v="Watch"/>
    <s v="Best"/>
    <s v="Best"/>
    <n v="125"/>
    <m/>
    <x v="322"/>
    <x v="322"/>
    <s v="Jessica Swale"/>
    <s v="Amazon MGM Studios/Lightworkers Media"/>
    <s v="PG-13"/>
    <s v="Kid"/>
  </r>
  <r>
    <s v="The Mother, the Menacer, and Me"/>
    <x v="1"/>
    <s v="December"/>
    <x v="7"/>
    <n v="6.4"/>
    <s v="Don't Watch"/>
    <s v="Avg"/>
    <s v="Avg"/>
    <n v="130"/>
    <m/>
    <x v="323"/>
    <x v="323"/>
    <s v="Jon Salmon"/>
    <s v="Persimmon / Ghost to the Post Productions"/>
    <s v="R"/>
    <s v="Adult"/>
  </r>
  <r>
    <s v="Saving Buddy Charles"/>
    <x v="1"/>
    <s v="December"/>
    <x v="5"/>
    <n v="8.1"/>
    <s v="Watch"/>
    <s v="Good"/>
    <s v="Best"/>
    <n v="105"/>
    <m/>
    <x v="324"/>
    <x v="324"/>
    <s v="Grace Wethor"/>
    <s v="Tubi"/>
    <s v="PG-13"/>
    <s v="Kid"/>
  </r>
  <r>
    <s v="Avatar: Fire and Ash"/>
    <x v="1"/>
    <s v="December"/>
    <x v="18"/>
    <n v="6.5"/>
    <s v="Don't Watch"/>
    <s v="Avg"/>
    <s v="Avg"/>
    <n v="107"/>
    <m/>
    <x v="325"/>
    <x v="325"/>
    <m/>
    <s v="20th Century Studios/Lightstorm Entertainment"/>
    <s v="PG-13"/>
    <s v="Kid"/>
  </r>
  <r>
    <s v="Anaconda"/>
    <x v="1"/>
    <s v="December"/>
    <x v="1"/>
    <n v="6.9"/>
    <s v="Watch"/>
    <s v="Avg"/>
    <s v="Avg"/>
    <n v="129"/>
    <m/>
    <x v="326"/>
    <x v="326"/>
    <m/>
    <s v="Columbia Pictures/Fully Formed Entertainment"/>
    <s v="PG-13"/>
    <s v="Kid"/>
  </r>
  <r>
    <s v="My Secret Santa"/>
    <x v="1"/>
    <s v="December"/>
    <x v="6"/>
    <n v="6.5"/>
    <s v="Don't Watch"/>
    <s v="Avg"/>
    <s v="Avg"/>
    <n v="119"/>
    <m/>
    <x v="327"/>
    <x v="327"/>
    <s v="Mike Rohl"/>
    <s v="Netflix"/>
    <s v="PG-13"/>
    <s v="Kid"/>
  </r>
  <r>
    <s v="Merrily We Roll Along"/>
    <x v="1"/>
    <s v="December"/>
    <x v="5"/>
    <n v="8.8000000000000007"/>
    <s v="Watch"/>
    <s v="Best"/>
    <s v="Best"/>
    <n v="145"/>
    <m/>
    <x v="328"/>
    <x v="328"/>
    <s v="Maria Friedman"/>
    <s v="Sony Pictures Classics/Fathom Events/RadicalMedia"/>
    <s v="PG-13"/>
    <s v="Kid"/>
  </r>
  <r>
    <s v="Fackham Hall"/>
    <x v="1"/>
    <s v="December"/>
    <x v="1"/>
    <n v="8.3000000000000007"/>
    <s v="Watch"/>
    <s v="Good"/>
    <s v="Best"/>
    <n v="140"/>
    <m/>
    <x v="329"/>
    <x v="329"/>
    <s v="Jim O'Hanlon"/>
    <s v="Bleecker Street"/>
    <s v="PG-13"/>
    <s v="Kid"/>
  </r>
  <r>
    <s v="Diary of a Wimpy Kid: The Last Straw"/>
    <x v="1"/>
    <s v="December"/>
    <x v="1"/>
    <n v="7"/>
    <s v="Watch"/>
    <s v="Avg"/>
    <s v="Good"/>
    <n v="148"/>
    <m/>
    <x v="330"/>
    <x v="330"/>
    <s v="Matt Danner"/>
    <s v="Disney+/Walt Disney Pictures/Bardel Entertainment"/>
    <s v="PG-13"/>
    <s v="Kid"/>
  </r>
  <r>
    <s v="Rosemead"/>
    <x v="1"/>
    <s v="December"/>
    <x v="4"/>
    <n v="6.3"/>
    <s v="Don't Watch"/>
    <s v="Avg"/>
    <s v="Avg"/>
    <n v="156"/>
    <m/>
    <x v="331"/>
    <x v="331"/>
    <s v="Eric Lin"/>
    <s v="Vertical/LA Times Studios"/>
    <s v="PG-13"/>
    <s v="Kid"/>
  </r>
  <r>
    <s v="Frontier Crucible"/>
    <x v="1"/>
    <s v="December"/>
    <x v="1"/>
    <n v="7.1"/>
    <s v="Watch"/>
    <s v="Good"/>
    <s v="Good"/>
    <n v="122"/>
    <m/>
    <x v="332"/>
    <x v="332"/>
    <s v="Travis Mills"/>
    <s v="Well Go USA Entertainment/Bonfire Legend"/>
    <s v="PG-13"/>
    <s v="Kid"/>
  </r>
  <r>
    <s v="Hunting Season"/>
    <x v="1"/>
    <s v="December"/>
    <x v="17"/>
    <n v="6.8"/>
    <s v="Watch"/>
    <s v="Avg"/>
    <s v="Avg"/>
    <n v="122"/>
    <m/>
    <x v="110"/>
    <x v="110"/>
    <s v="Raja Collins"/>
    <s v="Samuel Goldwyn Films"/>
    <s v="PG-13"/>
    <s v="Kid"/>
  </r>
  <r>
    <s v="Goodbye June"/>
    <x v="1"/>
    <s v="December"/>
    <x v="11"/>
    <n v="6.4"/>
    <s v="Don't Watch"/>
    <s v="Avg"/>
    <s v="Avg"/>
    <n v="112"/>
    <m/>
    <x v="223"/>
    <x v="223"/>
    <s v="Kate Winslet"/>
    <s v="Netflix"/>
    <s v="PG-13"/>
    <s v="Kid"/>
  </r>
  <r>
    <s v="Turbulence"/>
    <x v="1"/>
    <s v="December"/>
    <x v="6"/>
    <n v="6.5"/>
    <s v="Don't Watch"/>
    <s v="Avg"/>
    <s v="Avg"/>
    <n v="164"/>
    <m/>
    <x v="306"/>
    <x v="306"/>
    <s v="Claudio Fäh"/>
    <s v="Lionsgate"/>
    <s v="PG-13"/>
    <s v="Kid"/>
  </r>
  <r>
    <s v="Not Without Hope"/>
    <x v="1"/>
    <s v="December"/>
    <x v="1"/>
    <n v="7.5"/>
    <s v="Watch"/>
    <s v="Good"/>
    <s v="Good"/>
    <n v="111"/>
    <m/>
    <x v="333"/>
    <x v="333"/>
    <m/>
    <s v="Inaugural Entertainment / Volition Media"/>
    <s v="PG-13"/>
    <s v="Kid"/>
  </r>
  <r>
    <s v="The SpongeBob Movie: Search for SquarePants"/>
    <x v="1"/>
    <s v="December"/>
    <x v="15"/>
    <n v="6.1"/>
    <s v="Don't Watch"/>
    <s v="Avg"/>
    <s v="Avg"/>
    <n v="97"/>
    <m/>
    <x v="334"/>
    <x v="334"/>
    <s v="Derek Drymon"/>
    <s v="Paramount Animation/Nickelodeon Movies"/>
    <s v="PG-13"/>
    <s v="Kid"/>
  </r>
  <r>
    <s v="The Housemaid"/>
    <x v="1"/>
    <s v="December"/>
    <x v="1"/>
    <n v="6.6"/>
    <s v="Watch"/>
    <s v="Avg"/>
    <s v="Avg"/>
    <n v="138"/>
    <m/>
    <x v="335"/>
    <x v="335"/>
    <s v="Paul Feig"/>
    <s v="Lionsgate"/>
    <s v="PG-13"/>
    <s v="Kid"/>
  </r>
  <r>
    <s v="Is This Thing On?"/>
    <x v="1"/>
    <s v="December"/>
    <x v="5"/>
    <n v="7"/>
    <s v="Watch"/>
    <s v="Avg"/>
    <s v="Good"/>
    <n v="115"/>
    <m/>
    <x v="336"/>
    <x v="336"/>
    <m/>
    <s v="Searchlight Pictures"/>
    <s v="PG-13"/>
    <s v="Kid"/>
  </r>
  <r>
    <s v="Marty Supreme"/>
    <x v="1"/>
    <s v="December"/>
    <x v="12"/>
    <n v="7.9"/>
    <s v="Watch"/>
    <s v="Good"/>
    <s v="Good"/>
    <n v="109"/>
    <m/>
    <x v="337"/>
    <x v="337"/>
    <m/>
    <s v="A24"/>
    <s v="PG-13"/>
    <s v="Kid"/>
  </r>
  <r>
    <s v="The Testament of Ann Lee"/>
    <x v="1"/>
    <s v="December"/>
    <x v="2"/>
    <n v="6.9"/>
    <s v="Watch"/>
    <s v="Avg"/>
    <s v="Avg"/>
    <n v="132"/>
    <m/>
    <x v="338"/>
    <x v="338"/>
    <m/>
    <s v="Searchlight Pictures/Annapurna Pictures"/>
    <s v="PG-13"/>
    <s v="Kid"/>
  </r>
  <r>
    <s v="Last Breath"/>
    <x v="1"/>
    <s v="February"/>
    <x v="1"/>
    <n v="8.3000000000000007"/>
    <s v="Watch"/>
    <s v="Good"/>
    <s v="Best"/>
    <n v="149"/>
    <m/>
    <x v="339"/>
    <x v="339"/>
    <m/>
    <s v="Focus Features/Dark Castle Entertainment/FilmNation Entertainment"/>
    <s v="PG-13"/>
    <s v="Kid"/>
  </r>
  <r>
    <s v="Good Bad Things"/>
    <x v="1"/>
    <s v="February"/>
    <x v="13"/>
    <n v="6"/>
    <s v="Don't Watch"/>
    <s v="Avg"/>
    <s v="Avg"/>
    <n v="156"/>
    <m/>
    <x v="340"/>
    <x v="340"/>
    <m/>
    <s v="Music Box Films"/>
    <s v="PG-13"/>
    <s v="Kid"/>
  </r>
  <r>
    <s v="Kinda Pregnant"/>
    <x v="1"/>
    <s v="February"/>
    <x v="1"/>
    <n v="6.9"/>
    <s v="Watch"/>
    <s v="Avg"/>
    <s v="Avg"/>
    <n v="90"/>
    <m/>
    <x v="341"/>
    <x v="341"/>
    <s v="Tyler Spindel"/>
    <s v="Netflix/Happy Madison Productions"/>
    <s v="PG-13"/>
    <s v="Kid"/>
  </r>
  <r>
    <s v="Heart Eyes"/>
    <x v="1"/>
    <s v="February"/>
    <x v="7"/>
    <n v="8.6"/>
    <s v="Watch"/>
    <s v="Best"/>
    <s v="Best"/>
    <n v="128"/>
    <m/>
    <x v="342"/>
    <x v="342"/>
    <s v="Josh Ruben"/>
    <s v="Screen Gems/Spyglass Media Group/Divide/Conquer"/>
    <s v="R"/>
    <s v="Adult"/>
  </r>
  <r>
    <s v="The Witcher: Sirens of the Deep"/>
    <x v="1"/>
    <s v="February"/>
    <x v="7"/>
    <n v="7.7"/>
    <s v="Watch"/>
    <s v="Good"/>
    <s v="Good"/>
    <n v="92"/>
    <m/>
    <x v="343"/>
    <x v="343"/>
    <s v="Kang Hei Chul"/>
    <s v="Netflix/Studio Mir/Platige Image"/>
    <s v="R"/>
    <s v="Adult"/>
  </r>
  <r>
    <s v="Bridget Jones: Mad About the Boy"/>
    <x v="1"/>
    <s v="February"/>
    <x v="5"/>
    <n v="6.8"/>
    <s v="Watch"/>
    <s v="Avg"/>
    <s v="Avg"/>
    <n v="149"/>
    <m/>
    <x v="344"/>
    <x v="344"/>
    <s v="Michael Morris"/>
    <s v="Peacock/Universal Pictures/StudioCanal/Miramax/Working Title Films"/>
    <s v="PG-13"/>
    <s v="Kid"/>
  </r>
  <r>
    <s v="Captain America: Brave New World"/>
    <x v="1"/>
    <s v="February"/>
    <x v="16"/>
    <n v="6.2"/>
    <s v="Don't Watch"/>
    <s v="Avg"/>
    <s v="Avg"/>
    <n v="134"/>
    <m/>
    <x v="345"/>
    <x v="345"/>
    <m/>
    <s v="Marvel Studios"/>
    <s v="PG-13"/>
    <s v="Kid"/>
  </r>
  <r>
    <s v="Love Hurts"/>
    <x v="1"/>
    <s v="February"/>
    <x v="6"/>
    <n v="8.6999999999999993"/>
    <s v="Watch"/>
    <s v="Best"/>
    <s v="Best"/>
    <n v="162"/>
    <m/>
    <x v="346"/>
    <x v="346"/>
    <s v="Jonathan Eusebio"/>
    <s v="Universal Pictures/87North Productions"/>
    <s v="PG-13"/>
    <s v="Kid"/>
  </r>
  <r>
    <s v="Jazzy"/>
    <x v="1"/>
    <s v="February"/>
    <x v="1"/>
    <n v="8"/>
    <s v="Watch"/>
    <s v="Good"/>
    <s v="Good"/>
    <n v="101"/>
    <m/>
    <x v="347"/>
    <x v="347"/>
    <m/>
    <s v="Vertical/Duplass Brothers Productions"/>
    <s v="PG-13"/>
    <s v="Kid"/>
  </r>
  <r>
    <s v="Renner"/>
    <x v="1"/>
    <s v="February"/>
    <x v="13"/>
    <n v="6.3"/>
    <s v="Don't Watch"/>
    <s v="Avg"/>
    <s v="Avg"/>
    <n v="108"/>
    <m/>
    <x v="19"/>
    <x v="19"/>
    <s v="Robert Rippberger"/>
    <s v="Seismic Releasing / Slated"/>
    <s v="PG-13"/>
    <s v="Kid"/>
  </r>
  <r>
    <s v="When I'm Ready"/>
    <x v="1"/>
    <s v="February"/>
    <x v="1"/>
    <n v="7.2"/>
    <s v="Watch"/>
    <s v="Good"/>
    <s v="Good"/>
    <n v="153"/>
    <m/>
    <x v="348"/>
    <x v="348"/>
    <s v="Andrew Johnson"/>
    <s v="Quiver Distribution/Briarcliff Entertainment"/>
    <s v="PG-13"/>
    <s v="Kid"/>
  </r>
  <r>
    <s v="La Dolce Villa"/>
    <x v="1"/>
    <s v="February"/>
    <x v="1"/>
    <n v="7.9"/>
    <s v="Watch"/>
    <s v="Good"/>
    <s v="Good"/>
    <n v="118"/>
    <m/>
    <x v="349"/>
    <x v="349"/>
    <s v="Mark Waters"/>
    <s v="Netflix"/>
    <s v="PG-13"/>
    <s v="Kid"/>
  </r>
  <r>
    <s v="The Gorge"/>
    <x v="1"/>
    <s v="February"/>
    <x v="10"/>
    <n v="6.8"/>
    <s v="Watch"/>
    <s v="Avg"/>
    <s v="Avg"/>
    <n v="161"/>
    <m/>
    <x v="350"/>
    <x v="350"/>
    <s v="Scott Derrickson"/>
    <s v="Apple TV+/Apple Studios/Skydance Media"/>
    <s v="PG-13"/>
    <s v="Kid"/>
  </r>
  <r>
    <s v="The Long Game"/>
    <x v="1"/>
    <s v="February"/>
    <x v="1"/>
    <n v="8.1"/>
    <s v="Watch"/>
    <s v="Good"/>
    <s v="Best"/>
    <n v="96"/>
    <m/>
    <x v="351"/>
    <x v="351"/>
    <m/>
    <s v="Vertical"/>
    <s v="PG-13"/>
    <s v="Kid"/>
  </r>
  <r>
    <s v="The Dead Thing"/>
    <x v="1"/>
    <s v="February"/>
    <x v="7"/>
    <n v="7.6"/>
    <s v="Watch"/>
    <s v="Good"/>
    <s v="Good"/>
    <n v="115"/>
    <m/>
    <x v="352"/>
    <x v="352"/>
    <m/>
    <s v="Shudder"/>
    <s v="R"/>
    <s v="Adult"/>
  </r>
  <r>
    <s v="You, Me &amp; Her"/>
    <x v="1"/>
    <s v="February"/>
    <x v="5"/>
    <n v="7.5"/>
    <s v="Watch"/>
    <s v="Good"/>
    <s v="Good"/>
    <n v="150"/>
    <m/>
    <x v="353"/>
    <x v="353"/>
    <s v="Dan Levy Dagerman"/>
    <s v="Attend / Two Hands Productions"/>
    <s v="PG-13"/>
    <s v="Kid"/>
  </r>
  <r>
    <s v="Old Guy"/>
    <x v="1"/>
    <s v="February"/>
    <x v="1"/>
    <n v="7.3"/>
    <s v="Watch"/>
    <s v="Good"/>
    <s v="Good"/>
    <n v="118"/>
    <m/>
    <x v="354"/>
    <x v="354"/>
    <s v="Simon West"/>
    <s v="The Avenue /Dark Castle Entertainment"/>
    <s v="PG-13"/>
    <s v="Kid"/>
  </r>
  <r>
    <s v="Lifeline"/>
    <x v="1"/>
    <s v="February"/>
    <x v="2"/>
    <n v="8.8000000000000007"/>
    <s v="Watch"/>
    <s v="Best"/>
    <s v="Best"/>
    <n v="148"/>
    <m/>
    <x v="355"/>
    <x v="355"/>
    <s v="Feras Alfuqaha"/>
    <s v="Dark Sky Films"/>
    <s v="PG-13"/>
    <s v="Kid"/>
  </r>
  <r>
    <s v="Riff Raff"/>
    <x v="1"/>
    <s v="February"/>
    <x v="2"/>
    <n v="8.6"/>
    <s v="Watch"/>
    <s v="Best"/>
    <s v="Best"/>
    <n v="146"/>
    <m/>
    <x v="356"/>
    <x v="356"/>
    <s v="Dito Montiel"/>
    <s v="Roadside Attractions/Grindstone Entertainment Group/Signature Films"/>
    <s v="PG-13"/>
    <s v="Kid"/>
  </r>
  <r>
    <s v="My Dead Friend Zoe"/>
    <x v="1"/>
    <s v="February"/>
    <x v="1"/>
    <n v="8.3000000000000007"/>
    <s v="Watch"/>
    <s v="Good"/>
    <s v="Best"/>
    <n v="152"/>
    <m/>
    <x v="282"/>
    <x v="282"/>
    <m/>
    <s v="Briarcliff Entertainment/Legion M"/>
    <s v="PG-13"/>
    <s v="Kid"/>
  </r>
  <r>
    <s v="Cold Wallet"/>
    <x v="1"/>
    <s v="February"/>
    <x v="1"/>
    <n v="8.4"/>
    <s v="Watch"/>
    <s v="Good"/>
    <s v="Best"/>
    <n v="150"/>
    <m/>
    <x v="357"/>
    <x v="357"/>
    <s v="Cutter Hodierne"/>
    <s v="Well Go USA Entertainment"/>
    <s v="PG-13"/>
    <s v="Kid"/>
  </r>
  <r>
    <s v="No Address"/>
    <x v="1"/>
    <s v="February"/>
    <x v="1"/>
    <n v="7.9"/>
    <s v="Watch"/>
    <s v="Good"/>
    <s v="Good"/>
    <n v="121"/>
    <m/>
    <x v="358"/>
    <x v="358"/>
    <m/>
    <s v="Robert Craig Films"/>
    <s v="PG-13"/>
    <s v="Kid"/>
  </r>
  <r>
    <s v="The Accidental Getaway Driver"/>
    <x v="1"/>
    <s v="February"/>
    <x v="13"/>
    <n v="6"/>
    <s v="Don't Watch"/>
    <s v="Avg"/>
    <s v="Avg"/>
    <n v="117"/>
    <m/>
    <x v="359"/>
    <x v="359"/>
    <m/>
    <s v="Utopia/Thunder Road Films"/>
    <s v="PG-13"/>
    <s v="Kid"/>
  </r>
  <r>
    <s v="The Damned"/>
    <x v="1"/>
    <s v="January"/>
    <x v="7"/>
    <n v="8.6999999999999993"/>
    <s v="Watch"/>
    <s v="Best"/>
    <s v="Best"/>
    <n v="96"/>
    <m/>
    <x v="360"/>
    <x v="360"/>
    <s v="Thordur Palsson"/>
    <s v="Vertical/Ley Line Entertainment"/>
    <s v="R"/>
    <s v="Adult"/>
  </r>
  <r>
    <s v="Man with No Past"/>
    <x v="1"/>
    <s v="January"/>
    <x v="2"/>
    <n v="7.4"/>
    <s v="Watch"/>
    <s v="Good"/>
    <s v="Good"/>
    <n v="161"/>
    <m/>
    <x v="361"/>
    <x v="361"/>
    <s v="James Bamford"/>
    <s v="Paramount Pictures"/>
    <s v="PG-13"/>
    <s v="Kid"/>
  </r>
  <r>
    <s v="One of Them Days"/>
    <x v="1"/>
    <s v="January"/>
    <x v="13"/>
    <n v="8.4"/>
    <s v="Watch"/>
    <s v="Good"/>
    <s v="Best"/>
    <n v="138"/>
    <m/>
    <x v="362"/>
    <x v="362"/>
    <s v="Lawrence Lamont"/>
    <s v="TriStar Pictures/Hoorae Media"/>
    <s v="PG-13"/>
    <s v="Kid"/>
  </r>
  <r>
    <s v="Werewolf Game"/>
    <x v="1"/>
    <s v="January"/>
    <x v="7"/>
    <n v="7.1"/>
    <s v="Watch"/>
    <s v="Good"/>
    <s v="Good"/>
    <n v="143"/>
    <m/>
    <x v="363"/>
    <x v="363"/>
    <s v="Jackie Payne, Cara Brennan"/>
    <s v="Different Duck Films"/>
    <s v="R"/>
    <s v="Adult"/>
  </r>
  <r>
    <s v="Marked Men: Rule + Shaw"/>
    <x v="1"/>
    <s v="January"/>
    <x v="2"/>
    <n v="8.1999999999999993"/>
    <s v="Watch"/>
    <s v="Good"/>
    <s v="Best"/>
    <n v="139"/>
    <m/>
    <x v="364"/>
    <x v="364"/>
    <s v="Nick Cassavetes"/>
    <s v="Voltage Pictures"/>
    <s v="PG-13"/>
    <s v="Kid"/>
  </r>
  <r>
    <s v="Flight Risk"/>
    <x v="1"/>
    <s v="January"/>
    <x v="1"/>
    <n v="6.3"/>
    <s v="Don't Watch"/>
    <s v="Avg"/>
    <s v="Avg"/>
    <n v="162"/>
    <m/>
    <x v="365"/>
    <x v="365"/>
    <s v="Mel Gibson"/>
    <s v="Lionsgate/Davis Entertainment/Icon Productions"/>
    <s v="PG-13"/>
    <s v="Kid"/>
  </r>
  <r>
    <s v="Wolf Man"/>
    <x v="1"/>
    <s v="January"/>
    <x v="7"/>
    <n v="7"/>
    <s v="Watch"/>
    <s v="Avg"/>
    <s v="Good"/>
    <n v="139"/>
    <m/>
    <x v="366"/>
    <x v="366"/>
    <m/>
    <s v="Universal Pictures/Blumhouse Productions"/>
    <s v="R"/>
    <s v="Adult"/>
  </r>
  <r>
    <s v="Back in Action"/>
    <x v="1"/>
    <s v="January"/>
    <x v="2"/>
    <n v="7.2"/>
    <s v="Watch"/>
    <s v="Good"/>
    <s v="Good"/>
    <n v="144"/>
    <m/>
    <x v="367"/>
    <x v="367"/>
    <m/>
    <s v="Netflix/Chernin Entertainment"/>
    <s v="PG-13"/>
    <s v="Kid"/>
  </r>
  <r>
    <s v="Alarum"/>
    <x v="1"/>
    <s v="January"/>
    <x v="5"/>
    <n v="8.8000000000000007"/>
    <s v="Watch"/>
    <s v="Best"/>
    <s v="Best"/>
    <n v="100"/>
    <m/>
    <x v="368"/>
    <x v="368"/>
    <s v="Michael Polish"/>
    <s v="Lionsgate"/>
    <s v="PG-13"/>
    <s v="Kid"/>
  </r>
  <r>
    <s v="Henry Danger: The Movie"/>
    <x v="1"/>
    <s v="January"/>
    <x v="5"/>
    <n v="9.1999999999999993"/>
    <s v="Watch"/>
    <s v="Best"/>
    <s v="Best"/>
    <n v="131"/>
    <m/>
    <x v="369"/>
    <x v="369"/>
    <s v="Joe Menendez"/>
    <s v="Paramount+/Nickelodeon Productions/Awesomeness Films"/>
    <s v="PG-13"/>
    <s v="Kid"/>
  </r>
  <r>
    <s v="Wish You Were Here"/>
    <x v="1"/>
    <s v="January"/>
    <x v="1"/>
    <n v="7"/>
    <s v="Watch"/>
    <s v="Avg"/>
    <s v="Good"/>
    <n v="130"/>
    <m/>
    <x v="370"/>
    <x v="370"/>
    <m/>
    <s v="Lionsgate"/>
    <s v="PG-13"/>
    <s v="Kid"/>
  </r>
  <r>
    <s v="Presence"/>
    <x v="1"/>
    <s v="January"/>
    <x v="10"/>
    <n v="6.8"/>
    <s v="Watch"/>
    <s v="Avg"/>
    <s v="Avg"/>
    <n v="161"/>
    <m/>
    <x v="350"/>
    <x v="350"/>
    <s v="Steven Soderbergh"/>
    <s v="Neon/Sugar23"/>
    <s v="PG-13"/>
    <s v="Kid"/>
  </r>
  <r>
    <s v="Star Trek: Section 31"/>
    <x v="1"/>
    <s v="January"/>
    <x v="1"/>
    <n v="8.5"/>
    <s v="Watch"/>
    <s v="Good"/>
    <s v="Best"/>
    <n v="160"/>
    <m/>
    <x v="371"/>
    <x v="371"/>
    <s v="Olatunde Osunsanmi"/>
    <s v="Paramount+/Secret Hideout/Roddenberry Entertainment/CBS Studios"/>
    <s v="PG-13"/>
    <s v="Kid"/>
  </r>
  <r>
    <s v="Inheritance"/>
    <x v="1"/>
    <s v="January"/>
    <x v="5"/>
    <n v="8"/>
    <s v="Watch"/>
    <s v="Good"/>
    <s v="Good"/>
    <n v="95"/>
    <m/>
    <x v="372"/>
    <x v="372"/>
    <m/>
    <s v="IFC Films/Miramax"/>
    <s v="PG-13"/>
    <s v="Kid"/>
  </r>
  <r>
    <s v="Brave the Dark"/>
    <x v="1"/>
    <s v="January"/>
    <x v="11"/>
    <n v="8.5"/>
    <s v="Watch"/>
    <s v="Good"/>
    <s v="Best"/>
    <n v="157"/>
    <m/>
    <x v="373"/>
    <x v="373"/>
    <m/>
    <s v="Angel Studios"/>
    <s v="PG-13"/>
    <s v="Kid"/>
  </r>
  <r>
    <s v="Into the Deep"/>
    <x v="1"/>
    <s v="January"/>
    <x v="11"/>
    <n v="6.1"/>
    <s v="Don't Watch"/>
    <s v="Avg"/>
    <s v="Avg"/>
    <n v="142"/>
    <m/>
    <x v="374"/>
    <x v="374"/>
    <s v="Christian Sesma"/>
    <s v="Saban Capital Group"/>
    <s v="PG-13"/>
    <s v="Kid"/>
  </r>
  <r>
    <s v="Bau: Artist at War"/>
    <x v="1"/>
    <s v="January"/>
    <x v="2"/>
    <n v="6.4"/>
    <s v="Don't Watch"/>
    <s v="Avg"/>
    <s v="Avg"/>
    <n v="91"/>
    <m/>
    <x v="375"/>
    <x v="375"/>
    <s v="Sean McNamara"/>
    <s v="Showbiz Direct /Republic Pictures"/>
    <s v="PG-13"/>
    <s v="Kid"/>
  </r>
  <r>
    <s v="Valiant One"/>
    <x v="1"/>
    <s v="January"/>
    <x v="2"/>
    <n v="9"/>
    <s v="Watch"/>
    <s v="Best"/>
    <s v="Best"/>
    <n v="156"/>
    <m/>
    <x v="376"/>
    <x v="376"/>
    <m/>
    <s v="Briarcliff Entertainment/Brightlight Pictures"/>
    <s v="PG-13"/>
    <s v="Kid"/>
  </r>
  <r>
    <s v="Green and Gold"/>
    <x v="1"/>
    <s v="January"/>
    <x v="1"/>
    <n v="7.6"/>
    <s v="Watch"/>
    <s v="Good"/>
    <s v="Good"/>
    <n v="148"/>
    <m/>
    <x v="159"/>
    <x v="159"/>
    <m/>
    <s v="Fathom Events"/>
    <s v="PG-13"/>
    <s v="Kid"/>
  </r>
  <r>
    <s v="Jurassic World Rebirth"/>
    <x v="1"/>
    <s v="July"/>
    <x v="2"/>
    <n v="6.7"/>
    <s v="Watch"/>
    <s v="Avg"/>
    <s v="Avg"/>
    <n v="130"/>
    <m/>
    <x v="377"/>
    <x v="377"/>
    <s v="Gareth Edwards"/>
    <s v="Universal Pictures/Amblin Entertainment"/>
    <s v="PG-13"/>
    <s v="Kid"/>
  </r>
  <r>
    <s v="Long Distance"/>
    <x v="1"/>
    <s v="July"/>
    <x v="0"/>
    <n v="6.1"/>
    <s v="Don't Watch"/>
    <s v="Avg"/>
    <s v="Avg"/>
    <n v="133"/>
    <m/>
    <x v="378"/>
    <x v="378"/>
    <s v="Will Speck, Josh Gordon"/>
    <s v="Hulu/DreamWorks Pictures/Reliance Entertainment"/>
    <s v="PG-13"/>
    <s v="Kid"/>
  </r>
  <r>
    <s v="Pretty Thing"/>
    <x v="1"/>
    <s v="July"/>
    <x v="4"/>
    <n v="7"/>
    <s v="Watch"/>
    <s v="Avg"/>
    <s v="Good"/>
    <n v="151"/>
    <m/>
    <x v="379"/>
    <x v="379"/>
    <s v="Justin Kelly"/>
    <s v="Shout! Studios"/>
    <s v="PG-13"/>
    <s v="Kid"/>
  </r>
  <r>
    <s v="Zombies 4: Dawn of the Vampires"/>
    <x v="1"/>
    <s v="July"/>
    <x v="7"/>
    <n v="6.6"/>
    <s v="Watch"/>
    <s v="Avg"/>
    <s v="Avg"/>
    <n v="156"/>
    <m/>
    <x v="380"/>
    <x v="380"/>
    <s v="Paul Hoen"/>
    <s v="Disney+/Disney Channel"/>
    <s v="R"/>
    <s v="Adult"/>
  </r>
  <r>
    <s v="I Know What You Did Last Summer"/>
    <x v="1"/>
    <s v="July"/>
    <x v="2"/>
    <n v="7.7"/>
    <s v="Watch"/>
    <s v="Good"/>
    <s v="Good"/>
    <n v="101"/>
    <m/>
    <x v="381"/>
    <x v="381"/>
    <m/>
    <s v="Columbia Pictures/Screen Gems/Original Film"/>
    <s v="PG-13"/>
    <s v="Kid"/>
  </r>
  <r>
    <s v="Ick"/>
    <x v="1"/>
    <s v="July"/>
    <x v="6"/>
    <n v="8.6999999999999993"/>
    <s v="Watch"/>
    <s v="Best"/>
    <s v="Best"/>
    <n v="144"/>
    <m/>
    <x v="382"/>
    <x v="382"/>
    <m/>
    <s v="Fathom Events"/>
    <s v="PG-13"/>
    <s v="Kid"/>
  </r>
  <r>
    <s v="The Fantastic Four: First Steps"/>
    <x v="1"/>
    <s v="July"/>
    <x v="16"/>
    <n v="6"/>
    <s v="Don't Watch"/>
    <s v="Avg"/>
    <s v="Avg"/>
    <n v="99"/>
    <m/>
    <x v="383"/>
    <x v="383"/>
    <s v="Matt Shakman"/>
    <s v="Marvel Studios"/>
    <s v="PG-13"/>
    <s v="Kid"/>
  </r>
  <r>
    <s v="The Old Guard 2"/>
    <x v="1"/>
    <s v="July"/>
    <x v="10"/>
    <n v="7.2"/>
    <s v="Watch"/>
    <s v="Good"/>
    <s v="Good"/>
    <n v="111"/>
    <m/>
    <x v="384"/>
    <x v="384"/>
    <s v="Victoria Mahoney"/>
    <s v="Netflix/Skydance Media/Denver and Delilah Productions"/>
    <s v="PG-13"/>
    <s v="Kid"/>
  </r>
  <r>
    <s v="Heads of State"/>
    <x v="1"/>
    <s v="July"/>
    <x v="1"/>
    <n v="6"/>
    <s v="Don't Watch"/>
    <s v="Avg"/>
    <s v="Avg"/>
    <n v="90"/>
    <m/>
    <x v="385"/>
    <x v="385"/>
    <s v="Ilya Naishuller"/>
    <s v="Amazon MGM Studios/The Safran Company"/>
    <s v="PG-13"/>
    <s v="Kid"/>
  </r>
  <r>
    <s v="Dora and the Search for Sol Dorado"/>
    <x v="1"/>
    <s v="July"/>
    <x v="1"/>
    <n v="7.4"/>
    <s v="Watch"/>
    <s v="Good"/>
    <s v="Good"/>
    <n v="128"/>
    <m/>
    <x v="386"/>
    <x v="386"/>
    <s v="Alberto Belli"/>
    <s v="Paramount+/Nickelodeon Movies"/>
    <s v="PG-13"/>
    <s v="Kid"/>
  </r>
  <r>
    <s v="Smurfs"/>
    <x v="1"/>
    <s v="July"/>
    <x v="0"/>
    <n v="8.5"/>
    <s v="Watch"/>
    <s v="Good"/>
    <s v="Best"/>
    <n v="130"/>
    <m/>
    <x v="387"/>
    <x v="387"/>
    <s v="Chris Miller"/>
    <s v="Paramount Animation"/>
    <s v="PG-13"/>
    <s v="Kid"/>
  </r>
  <r>
    <s v="Saint Clare"/>
    <x v="1"/>
    <s v="July"/>
    <x v="1"/>
    <n v="7.9"/>
    <s v="Watch"/>
    <s v="Good"/>
    <s v="Good"/>
    <n v="145"/>
    <m/>
    <x v="388"/>
    <x v="388"/>
    <m/>
    <s v="Quiver Distribution"/>
    <s v="PG-13"/>
    <s v="Kid"/>
  </r>
  <r>
    <s v="Guns &amp; Moses"/>
    <x v="1"/>
    <s v="July"/>
    <x v="2"/>
    <n v="8.3000000000000007"/>
    <s v="Watch"/>
    <s v="Good"/>
    <s v="Best"/>
    <n v="149"/>
    <m/>
    <x v="339"/>
    <x v="339"/>
    <m/>
    <s v="Concourse Media"/>
    <s v="PG-13"/>
    <s v="Kid"/>
  </r>
  <r>
    <s v="Happy Gilmore 2"/>
    <x v="1"/>
    <s v="July"/>
    <x v="11"/>
    <n v="6.6"/>
    <s v="Watch"/>
    <s v="Avg"/>
    <s v="Avg"/>
    <n v="162"/>
    <m/>
    <x v="14"/>
    <x v="14"/>
    <s v="Kyle Newacheck"/>
    <s v="Netflix/Happy Madison Productions"/>
    <s v="PG-13"/>
    <s v="Kid"/>
  </r>
  <r>
    <s v="The Home"/>
    <x v="1"/>
    <s v="July"/>
    <x v="7"/>
    <n v="6"/>
    <s v="Don't Watch"/>
    <s v="Avg"/>
    <s v="Avg"/>
    <n v="129"/>
    <m/>
    <x v="389"/>
    <x v="389"/>
    <m/>
    <s v="Lionsgate/Roadside Attractions/Miramax"/>
    <s v="R"/>
    <s v="Adult"/>
  </r>
  <r>
    <s v="Osiris"/>
    <x v="1"/>
    <s v="July"/>
    <x v="5"/>
    <n v="7.8"/>
    <s v="Watch"/>
    <s v="Good"/>
    <s v="Good"/>
    <n v="123"/>
    <m/>
    <x v="390"/>
    <x v="390"/>
    <m/>
    <s v="Vertical/XYZ Films"/>
    <s v="PG-13"/>
    <s v="Kid"/>
  </r>
  <r>
    <s v="War of the Worlds"/>
    <x v="1"/>
    <s v="July"/>
    <x v="2"/>
    <n v="8.4"/>
    <s v="Watch"/>
    <s v="Good"/>
    <s v="Best"/>
    <n v="153"/>
    <m/>
    <x v="391"/>
    <x v="391"/>
    <s v="Rich Lee"/>
    <s v="Amazon MGM Studios/Universal Pictures/Bazelevs Company"/>
    <s v="PG-13"/>
    <s v="Kid"/>
  </r>
  <r>
    <s v="Ballerina"/>
    <x v="1"/>
    <s v="June"/>
    <x v="2"/>
    <n v="8.6999999999999993"/>
    <s v="Watch"/>
    <s v="Best"/>
    <s v="Best"/>
    <n v="96"/>
    <m/>
    <x v="392"/>
    <x v="392"/>
    <s v="Len Wiseman"/>
    <s v="Lionsgate/Summit Entertainment/Thunder Road Films/87North Productions"/>
    <s v="PG-13"/>
    <s v="Kid"/>
  </r>
  <r>
    <s v="Elio"/>
    <x v="1"/>
    <s v="June"/>
    <x v="0"/>
    <n v="6.9"/>
    <s v="Watch"/>
    <s v="Avg"/>
    <s v="Avg"/>
    <n v="108"/>
    <m/>
    <x v="393"/>
    <x v="393"/>
    <s v="Madeline Sharafian,Domee Shi,Adrian Molina"/>
    <s v="Walt Disney Pictures/Pixar Animation Studios"/>
    <s v="PG-13"/>
    <s v="Kid"/>
  </r>
  <r>
    <s v="F1"/>
    <x v="1"/>
    <s v="June"/>
    <x v="2"/>
    <n v="9.1999999999999993"/>
    <s v="Watch"/>
    <s v="Best"/>
    <s v="Best"/>
    <n v="134"/>
    <m/>
    <x v="394"/>
    <x v="394"/>
    <s v="Joseph Kosinski"/>
    <s v="Warner Bros. Pictures/Apple Studios/Jerry Bruckheimer Films/Plan B Entertainment"/>
    <s v="PG-13"/>
    <s v="Kid"/>
  </r>
  <r>
    <s v="Predator: Killer of Killers"/>
    <x v="1"/>
    <s v="June"/>
    <x v="1"/>
    <n v="6.8"/>
    <s v="Watch"/>
    <s v="Avg"/>
    <s v="Avg"/>
    <n v="152"/>
    <m/>
    <x v="395"/>
    <x v="395"/>
    <s v="Dan Trachtenberg"/>
    <s v="Hulu/20th Century Studios/Davis Entertainment/Lawrence Gordon Productions"/>
    <s v="PG-13"/>
    <s v="Kid"/>
  </r>
  <r>
    <s v="Echo Valley"/>
    <x v="1"/>
    <s v="June"/>
    <x v="5"/>
    <n v="8.5"/>
    <s v="Watch"/>
    <s v="Good"/>
    <s v="Best"/>
    <n v="151"/>
    <m/>
    <x v="396"/>
    <x v="396"/>
    <s v="Michael Pearce"/>
    <s v="Apple TV+/Apple Studios/Scott Free Productions"/>
    <s v="PG-13"/>
    <s v="Kid"/>
  </r>
  <r>
    <s v="The Ritual"/>
    <x v="1"/>
    <s v="June"/>
    <x v="1"/>
    <n v="6.1"/>
    <s v="Don't Watch"/>
    <s v="Avg"/>
    <s v="Avg"/>
    <n v="136"/>
    <m/>
    <x v="119"/>
    <x v="119"/>
    <m/>
    <s v="XYZ Films"/>
    <s v="PG-13"/>
    <s v="Kid"/>
  </r>
  <r>
    <s v="Dangerous Animals"/>
    <x v="1"/>
    <s v="June"/>
    <x v="7"/>
    <n v="6.6"/>
    <s v="Watch"/>
    <s v="Avg"/>
    <s v="Avg"/>
    <n v="117"/>
    <m/>
    <x v="397"/>
    <x v="397"/>
    <s v="Sean Byrne"/>
    <s v="IFC Films/Shudder/LD Entertainment/Brouhaha Entertainment"/>
    <s v="R"/>
    <s v="Adult"/>
  </r>
  <r>
    <s v="Diablo"/>
    <x v="1"/>
    <s v="June"/>
    <x v="1"/>
    <n v="6.5"/>
    <s v="Don't Watch"/>
    <s v="Avg"/>
    <s v="Avg"/>
    <n v="152"/>
    <m/>
    <x v="398"/>
    <x v="398"/>
    <s v="Ernesto Díaz Espinoza"/>
    <s v="Lionsgate/Grindstone Entertainment Group"/>
    <s v="PG-13"/>
    <s v="Kid"/>
  </r>
  <r>
    <s v="The Unholy Trinity"/>
    <x v="1"/>
    <s v="June"/>
    <x v="2"/>
    <n v="7"/>
    <s v="Watch"/>
    <s v="Avg"/>
    <s v="Good"/>
    <n v="112"/>
    <m/>
    <x v="399"/>
    <x v="399"/>
    <s v="Richard Gray"/>
    <s v="Saban Films/Roadside Attractions"/>
    <s v="PG-13"/>
    <s v="Kid"/>
  </r>
  <r>
    <s v="Tatami"/>
    <x v="1"/>
    <s v="June"/>
    <x v="1"/>
    <n v="8.6"/>
    <s v="Watch"/>
    <s v="Best"/>
    <s v="Best"/>
    <n v="98"/>
    <m/>
    <x v="400"/>
    <x v="400"/>
    <s v="Guy Nattiv,Zar Amir Ebrahimi"/>
    <s v="XYZ Films/Maven Screen Media"/>
    <s v="PG-13"/>
    <s v="Kid"/>
  </r>
  <r>
    <s v="28 Years Later"/>
    <x v="1"/>
    <s v="June"/>
    <x v="5"/>
    <n v="7.4"/>
    <s v="Watch"/>
    <s v="Good"/>
    <s v="Good"/>
    <n v="155"/>
    <m/>
    <x v="401"/>
    <x v="401"/>
    <s v="Danny Boyle"/>
    <s v="Columbia Pictures/DNA Films"/>
    <s v="PG-13"/>
    <s v="Kid"/>
  </r>
  <r>
    <s v="KPop Demon Hunters"/>
    <x v="1"/>
    <s v="June"/>
    <x v="0"/>
    <n v="7.5"/>
    <s v="Watch"/>
    <s v="Good"/>
    <s v="Good"/>
    <n v="126"/>
    <m/>
    <x v="402"/>
    <x v="402"/>
    <m/>
    <s v="Netflix/Sony Pictures Animation"/>
    <s v="PG-13"/>
    <s v="Kid"/>
  </r>
  <r>
    <s v="Everything's Going to Be Great"/>
    <x v="1"/>
    <s v="June"/>
    <x v="1"/>
    <n v="6.9"/>
    <s v="Watch"/>
    <s v="Avg"/>
    <s v="Avg"/>
    <n v="126"/>
    <m/>
    <x v="403"/>
    <x v="403"/>
    <s v="Jon S. Baird"/>
    <s v="Lionsgate/Entertainment One"/>
    <s v="PG-13"/>
    <s v="Kid"/>
  </r>
  <r>
    <s v="Bride Hard"/>
    <x v="1"/>
    <s v="June"/>
    <x v="1"/>
    <n v="8.1999999999999993"/>
    <s v="Watch"/>
    <s v="Good"/>
    <s v="Best"/>
    <n v="91"/>
    <m/>
    <x v="404"/>
    <x v="404"/>
    <s v="Simon West"/>
    <s v="Magenta Light Studios"/>
    <s v="PG-13"/>
    <s v="Kid"/>
  </r>
  <r>
    <s v="Eye for an Eye"/>
    <x v="1"/>
    <s v="June"/>
    <x v="1"/>
    <n v="6.3"/>
    <s v="Don't Watch"/>
    <s v="Avg"/>
    <s v="Avg"/>
    <n v="102"/>
    <m/>
    <x v="405"/>
    <x v="405"/>
    <s v="Colin Tilley"/>
    <s v="Vertical/Ley Line Entertainment"/>
    <s v="PG-13"/>
    <s v="Kid"/>
  </r>
  <r>
    <s v="Alma and the Wolf"/>
    <x v="1"/>
    <s v="June"/>
    <x v="1"/>
    <n v="6.5"/>
    <s v="Don't Watch"/>
    <s v="Avg"/>
    <s v="Avg"/>
    <n v="101"/>
    <m/>
    <x v="263"/>
    <x v="263"/>
    <s v="Michael Patrick Jann"/>
    <s v="Republic Pictures"/>
    <s v="PG-13"/>
    <s v="Kid"/>
  </r>
  <r>
    <s v="The Harvest"/>
    <x v="1"/>
    <s v="June"/>
    <x v="12"/>
    <n v="7"/>
    <s v="Watch"/>
    <s v="Avg"/>
    <s v="Good"/>
    <n v="94"/>
    <m/>
    <x v="406"/>
    <x v="406"/>
    <s v="Caylee So"/>
    <s v="Freestyle Digital Media"/>
    <s v="PG-13"/>
    <s v="Kid"/>
  </r>
  <r>
    <s v="Off the Grid"/>
    <x v="1"/>
    <s v="June"/>
    <x v="5"/>
    <n v="7.4"/>
    <s v="Watch"/>
    <s v="Good"/>
    <s v="Good"/>
    <n v="98"/>
    <m/>
    <x v="407"/>
    <x v="407"/>
    <s v="Johnny Martin"/>
    <s v="Lionsgate"/>
    <s v="PG-13"/>
    <s v="Kid"/>
  </r>
  <r>
    <s v="Ponyboi"/>
    <x v="1"/>
    <s v="June"/>
    <x v="1"/>
    <n v="8.1999999999999993"/>
    <s v="Watch"/>
    <s v="Good"/>
    <s v="Best"/>
    <n v="151"/>
    <m/>
    <x v="408"/>
    <x v="408"/>
    <s v="Esteban Arango"/>
    <s v="Fox Entertainment Studios/Gathr"/>
    <s v="PG-13"/>
    <s v="Kid"/>
  </r>
  <r>
    <s v="Please Don't Feed the Children"/>
    <x v="1"/>
    <s v="June"/>
    <x v="4"/>
    <n v="7.5"/>
    <s v="Watch"/>
    <s v="Good"/>
    <s v="Good"/>
    <n v="141"/>
    <m/>
    <x v="409"/>
    <x v="409"/>
    <s v="Destry Allyn Spielberg"/>
    <s v="Tubi"/>
    <s v="PG-13"/>
    <s v="Kid"/>
  </r>
  <r>
    <s v="Sew Torn"/>
    <x v="1"/>
    <s v="March"/>
    <x v="13"/>
    <n v="6.7"/>
    <s v="Watch"/>
    <s v="Avg"/>
    <s v="Avg"/>
    <n v="94"/>
    <m/>
    <x v="410"/>
    <x v="410"/>
    <m/>
    <s v="Vertigo Releasing"/>
    <s v="PG-13"/>
    <s v="Kid"/>
  </r>
  <r>
    <s v="The Parenting"/>
    <x v="1"/>
    <s v="March"/>
    <x v="2"/>
    <n v="7.5"/>
    <s v="Watch"/>
    <s v="Good"/>
    <s v="Good"/>
    <n v="147"/>
    <m/>
    <x v="61"/>
    <x v="61"/>
    <s v="Craig Johnson"/>
    <s v="Max/Warner Bros. Pictures/New Line Cinema"/>
    <s v="PG-13"/>
    <s v="Kid"/>
  </r>
  <r>
    <s v="Black Bag"/>
    <x v="1"/>
    <s v="March"/>
    <x v="5"/>
    <n v="8.8000000000000007"/>
    <s v="Watch"/>
    <s v="Best"/>
    <s v="Best"/>
    <n v="115"/>
    <m/>
    <x v="411"/>
    <x v="411"/>
    <s v="Steven Soderbergh"/>
    <s v="Focus Features"/>
    <s v="PG-13"/>
    <s v="Kid"/>
  </r>
  <r>
    <s v="Batman Ninja vs. Yakuza League"/>
    <x v="1"/>
    <s v="March"/>
    <x v="0"/>
    <n v="8.8000000000000007"/>
    <s v="Watch"/>
    <s v="Best"/>
    <s v="Best"/>
    <n v="112"/>
    <m/>
    <x v="412"/>
    <x v="412"/>
    <s v="Junpei Mizusaki, Shinji Takagi"/>
    <s v="Warner Bros. Home Entertainment/DC Entertainment/Warner Bros. Animation"/>
    <s v="PG-13"/>
    <s v="Kid"/>
  </r>
  <r>
    <s v="Snow White"/>
    <x v="1"/>
    <s v="March"/>
    <x v="0"/>
    <n v="8.3000000000000007"/>
    <s v="Watch"/>
    <s v="Good"/>
    <s v="Best"/>
    <n v="158"/>
    <m/>
    <x v="413"/>
    <x v="413"/>
    <s v="Marc Webb"/>
    <s v="Walt Disney Pictures/Marc Platt Productions"/>
    <s v="PG-13"/>
    <s v="Kid"/>
  </r>
  <r>
    <s v="Holland"/>
    <x v="1"/>
    <s v="March"/>
    <x v="4"/>
    <n v="8.5"/>
    <s v="Watch"/>
    <s v="Good"/>
    <s v="Best"/>
    <n v="121"/>
    <m/>
    <x v="414"/>
    <x v="414"/>
    <s v="Mimi Cave"/>
    <s v="Amazon MGM Studios/Blossom Films"/>
    <s v="PG-13"/>
    <s v="Kid"/>
  </r>
  <r>
    <s v="A Working Man"/>
    <x v="1"/>
    <s v="March"/>
    <x v="1"/>
    <n v="6.7"/>
    <s v="Watch"/>
    <s v="Avg"/>
    <s v="Avg"/>
    <n v="115"/>
    <m/>
    <x v="309"/>
    <x v="309"/>
    <m/>
    <s v="Metro-Goldwyn-Mayer/Black Bear Pictures/Balboa Productions/Cedar Park Entertainment/Punch Palace Productions"/>
    <s v="PG-13"/>
    <s v="Kid"/>
  </r>
  <r>
    <s v="The Electric State"/>
    <x v="1"/>
    <s v="March"/>
    <x v="1"/>
    <n v="6.6"/>
    <s v="Watch"/>
    <s v="Avg"/>
    <s v="Avg"/>
    <n v="117"/>
    <m/>
    <x v="69"/>
    <x v="69"/>
    <s v="Anthony Russo, Joe Russo"/>
    <s v="Netflix/AGBO/Skybound Entertainment"/>
    <s v="PG-13"/>
    <s v="Kid"/>
  </r>
  <r>
    <s v="In the Lost Lands"/>
    <x v="1"/>
    <s v="March"/>
    <x v="1"/>
    <n v="7"/>
    <s v="Watch"/>
    <s v="Avg"/>
    <s v="Good"/>
    <n v="106"/>
    <m/>
    <x v="415"/>
    <x v="415"/>
    <m/>
    <s v="Vertical/Constantin Film/FilmNation Entertainment"/>
    <s v="PG-13"/>
    <s v="Kid"/>
  </r>
  <r>
    <s v="Plankton: The Movie"/>
    <x v="1"/>
    <s v="March"/>
    <x v="17"/>
    <n v="8.5"/>
    <s v="Watch"/>
    <s v="Good"/>
    <s v="Best"/>
    <n v="127"/>
    <m/>
    <x v="416"/>
    <x v="416"/>
    <s v="Dave Needham"/>
    <s v="Netflix/Nickelodeon Movies"/>
    <s v="PG-13"/>
    <s v="Kid"/>
  </r>
  <r>
    <s v="F*** Marry Kill"/>
    <x v="1"/>
    <s v="March"/>
    <x v="6"/>
    <n v="6.3"/>
    <s v="Don't Watch"/>
    <s v="Avg"/>
    <s v="Avg"/>
    <n v="144"/>
    <m/>
    <x v="172"/>
    <x v="172"/>
    <s v="Laura Murphy"/>
    <s v="Lionsgate Premiere/BuzzFeed Studios"/>
    <s v="PG-13"/>
    <s v="Kid"/>
  </r>
  <r>
    <s v="Eephus"/>
    <x v="1"/>
    <s v="March"/>
    <x v="1"/>
    <n v="6.3"/>
    <s v="Don't Watch"/>
    <s v="Avg"/>
    <s v="Avg"/>
    <n v="108"/>
    <m/>
    <x v="19"/>
    <x v="19"/>
    <m/>
    <s v="Music Box Films"/>
    <s v="PG-13"/>
    <s v="Kid"/>
  </r>
  <r>
    <s v="Rule Breakers"/>
    <x v="1"/>
    <s v="March"/>
    <x v="8"/>
    <n v="7.3"/>
    <s v="Watch"/>
    <s v="Good"/>
    <s v="Good"/>
    <n v="145"/>
    <m/>
    <x v="145"/>
    <x v="145"/>
    <m/>
    <s v="Angel Studios"/>
    <s v="R"/>
    <s v="Adult"/>
  </r>
  <r>
    <s v="Novocaine"/>
    <x v="1"/>
    <s v="March"/>
    <x v="1"/>
    <n v="7.8"/>
    <s v="Watch"/>
    <s v="Good"/>
    <s v="Good"/>
    <n v="120"/>
    <m/>
    <x v="207"/>
    <x v="207"/>
    <s v="Dan Berk, Robert Olsen"/>
    <s v="Paramount Pictures/Infrared Pictures"/>
    <s v="PG-13"/>
    <s v="Kid"/>
  </r>
  <r>
    <s v="The Actor"/>
    <x v="1"/>
    <s v="March"/>
    <x v="2"/>
    <n v="7.3"/>
    <s v="Watch"/>
    <s v="Good"/>
    <s v="Good"/>
    <n v="91"/>
    <m/>
    <x v="417"/>
    <x v="417"/>
    <m/>
    <s v="Neon"/>
    <s v="PG-13"/>
    <s v="Kid"/>
  </r>
  <r>
    <s v="High Rollers"/>
    <x v="1"/>
    <s v="March"/>
    <x v="8"/>
    <n v="7.2"/>
    <s v="Watch"/>
    <s v="Good"/>
    <s v="Good"/>
    <n v="120"/>
    <m/>
    <x v="418"/>
    <x v="418"/>
    <s v="Ives"/>
    <s v="Saban Films"/>
    <s v="R"/>
    <s v="Adult"/>
  </r>
  <r>
    <s v="The Last Supper"/>
    <x v="1"/>
    <s v="March"/>
    <x v="2"/>
    <n v="8.1999999999999993"/>
    <s v="Watch"/>
    <s v="Good"/>
    <s v="Best"/>
    <n v="136"/>
    <m/>
    <x v="419"/>
    <x v="419"/>
    <m/>
    <s v="Pinnacle Peak Pictures/Canyon Productions"/>
    <s v="PG-13"/>
    <s v="Kid"/>
  </r>
  <r>
    <s v="The Alto Knights"/>
    <x v="1"/>
    <s v="March"/>
    <x v="2"/>
    <n v="6.8"/>
    <s v="Watch"/>
    <s v="Avg"/>
    <s v="Avg"/>
    <n v="146"/>
    <m/>
    <x v="420"/>
    <x v="420"/>
    <s v="Barry Levinson"/>
    <s v="Warner Bros. Pictures/Winkler Films"/>
    <s v="PG-13"/>
    <s v="Kid"/>
  </r>
  <r>
    <s v="Ash"/>
    <x v="1"/>
    <s v="March"/>
    <x v="7"/>
    <n v="9.1999999999999993"/>
    <s v="Watch"/>
    <s v="Best"/>
    <s v="Best"/>
    <n v="149"/>
    <m/>
    <x v="421"/>
    <x v="421"/>
    <s v="Flying Lotus"/>
    <s v="RLJE Films/Shudder/XYZ Films/IPR.VC"/>
    <s v="R"/>
    <s v="Adult"/>
  </r>
  <r>
    <s v="The Assessment"/>
    <x v="1"/>
    <s v="March"/>
    <x v="3"/>
    <n v="6.9"/>
    <s v="Watch"/>
    <s v="Avg"/>
    <s v="Avg"/>
    <n v="123"/>
    <m/>
    <x v="422"/>
    <x v="422"/>
    <s v="Fleur Fortuné"/>
    <s v="Magnolia Pictures/Number 9 Films"/>
    <s v="PG-13"/>
    <s v="Kid"/>
  </r>
  <r>
    <s v="Locked"/>
    <x v="1"/>
    <s v="March"/>
    <x v="1"/>
    <n v="7.2"/>
    <s v="Watch"/>
    <s v="Good"/>
    <s v="Good"/>
    <n v="159"/>
    <m/>
    <x v="423"/>
    <x v="423"/>
    <s v="David Yarovesky"/>
    <s v="The Avenue / ZQ Entertainment / Raimi Productions /Arcana Studio"/>
    <s v="PG-13"/>
    <s v="Kid"/>
  </r>
  <r>
    <s v="McVeigh"/>
    <x v="1"/>
    <s v="March"/>
    <x v="8"/>
    <n v="8.6999999999999993"/>
    <s v="Watch"/>
    <s v="Best"/>
    <s v="Best"/>
    <n v="90"/>
    <m/>
    <x v="424"/>
    <x v="424"/>
    <m/>
    <s v="Decal"/>
    <s v="R"/>
    <s v="Adult"/>
  </r>
  <r>
    <s v="Popeye the Slayer Man"/>
    <x v="1"/>
    <s v="March"/>
    <x v="5"/>
    <n v="7.6"/>
    <s v="Watch"/>
    <s v="Good"/>
    <s v="Good"/>
    <n v="91"/>
    <m/>
    <x v="425"/>
    <x v="425"/>
    <s v="Robert Michael Ryan"/>
    <s v="Vantage Media"/>
    <s v="PG-13"/>
    <s v="Kid"/>
  </r>
  <r>
    <s v="The Woman in the Yard"/>
    <x v="1"/>
    <s v="March"/>
    <x v="7"/>
    <n v="9.1"/>
    <s v="Watch"/>
    <s v="Best"/>
    <s v="Best"/>
    <n v="157"/>
    <m/>
    <x v="426"/>
    <x v="426"/>
    <s v="Jaume Collet-Serra"/>
    <s v="Universal Pictures/Blumhouse Productions"/>
    <s v="R"/>
    <s v="Adult"/>
  </r>
  <r>
    <s v="Alexander and the Terrible, Horrible, No Good, Very Bad Road Trip"/>
    <x v="1"/>
    <s v="March"/>
    <x v="1"/>
    <n v="7.9"/>
    <s v="Watch"/>
    <s v="Good"/>
    <s v="Good"/>
    <n v="106"/>
    <m/>
    <x v="427"/>
    <x v="427"/>
    <s v="Marvin Lemus"/>
    <s v="Disney+/Walt Disney Pictures/21 Laps Entertainment/The Jim Henson Company"/>
    <s v="PG-13"/>
    <s v="Kid"/>
  </r>
  <r>
    <s v="Day of Reckoning"/>
    <x v="1"/>
    <s v="March"/>
    <x v="10"/>
    <n v="7.8"/>
    <s v="Watch"/>
    <s v="Good"/>
    <s v="Good"/>
    <n v="156"/>
    <m/>
    <x v="428"/>
    <x v="428"/>
    <s v="Shaun Silva"/>
    <s v="ESX Films"/>
    <s v="PG-13"/>
    <s v="Kid"/>
  </r>
  <r>
    <s v="Another Simple Favor"/>
    <x v="1"/>
    <s v="May"/>
    <x v="1"/>
    <n v="7.1"/>
    <s v="Watch"/>
    <s v="Good"/>
    <s v="Good"/>
    <n v="128"/>
    <m/>
    <x v="429"/>
    <x v="429"/>
    <s v="Paul Feig"/>
    <s v="Amazon MGM Studios/Lionsgate/Feigco Entertainment"/>
    <s v="PG-13"/>
    <s v="Kid"/>
  </r>
  <r>
    <s v="Thunderbolts*"/>
    <x v="1"/>
    <s v="May"/>
    <x v="16"/>
    <n v="7.2"/>
    <s v="Watch"/>
    <s v="Good"/>
    <s v="Good"/>
    <n v="135"/>
    <m/>
    <x v="430"/>
    <x v="430"/>
    <s v="Jake Schreier"/>
    <s v="Marvel Studios"/>
    <s v="PG-13"/>
    <s v="Kid"/>
  </r>
  <r>
    <s v="Shadow Force"/>
    <x v="1"/>
    <s v="May"/>
    <x v="18"/>
    <n v="9.1"/>
    <s v="Watch"/>
    <s v="Best"/>
    <s v="Best"/>
    <n v="106"/>
    <m/>
    <x v="112"/>
    <x v="112"/>
    <m/>
    <s v="Lionsgate/Simpson Street/Indian Meadows Productions"/>
    <s v="PG-13"/>
    <s v="Kid"/>
  </r>
  <r>
    <s v="Final Destination Bloodlines"/>
    <x v="1"/>
    <s v="May"/>
    <x v="2"/>
    <n v="7.6"/>
    <s v="Watch"/>
    <s v="Good"/>
    <s v="Good"/>
    <n v="133"/>
    <m/>
    <x v="431"/>
    <x v="431"/>
    <s v="Zach Lipovsky,Adam Stein"/>
    <s v="Warner Bros. Pictures/New Line Cinema"/>
    <s v="PG-13"/>
    <s v="Kid"/>
  </r>
  <r>
    <s v="Lilo &amp; Stitch"/>
    <x v="1"/>
    <s v="May"/>
    <x v="1"/>
    <n v="7.5"/>
    <s v="Watch"/>
    <s v="Good"/>
    <s v="Good"/>
    <n v="90"/>
    <m/>
    <x v="432"/>
    <x v="432"/>
    <s v="Dean Fleischer Camp"/>
    <s v="Walt Disney Pictures/Rideback"/>
    <s v="PG-13"/>
    <s v="Kid"/>
  </r>
  <r>
    <s v="Karate Kid: Legends"/>
    <x v="1"/>
    <s v="May"/>
    <x v="2"/>
    <n v="6.4"/>
    <s v="Don't Watch"/>
    <s v="Avg"/>
    <s v="Avg"/>
    <n v="148"/>
    <m/>
    <x v="433"/>
    <x v="433"/>
    <s v="Jonathan Entwistle"/>
    <s v="Columbia Pictures"/>
    <s v="PG-13"/>
    <s v="Kid"/>
  </r>
  <r>
    <s v="Words of War"/>
    <x v="1"/>
    <s v="May"/>
    <x v="18"/>
    <n v="8.5"/>
    <s v="Watch"/>
    <s v="Good"/>
    <s v="Best"/>
    <n v="142"/>
    <m/>
    <x v="434"/>
    <x v="434"/>
    <s v="James Strong"/>
    <s v="Decal"/>
    <s v="PG-13"/>
    <s v="Kid"/>
  </r>
  <r>
    <s v="I'm Beginning to See the Light"/>
    <x v="1"/>
    <s v="May"/>
    <x v="10"/>
    <n v="6.3"/>
    <s v="Don't Watch"/>
    <s v="Avg"/>
    <s v="Avg"/>
    <n v="96"/>
    <m/>
    <x v="435"/>
    <x v="435"/>
    <m/>
    <s v="Gravitas Ventures"/>
    <s v="PG-13"/>
    <s v="Kid"/>
  </r>
  <r>
    <s v="Rosario"/>
    <x v="1"/>
    <s v="May"/>
    <x v="8"/>
    <n v="8.1"/>
    <s v="Watch"/>
    <s v="Good"/>
    <s v="Best"/>
    <n v="150"/>
    <m/>
    <x v="436"/>
    <x v="436"/>
    <s v="Felipe Vargas"/>
    <s v="Variance Films"/>
    <s v="R"/>
    <s v="Adult"/>
  </r>
  <r>
    <s v="Electra"/>
    <x v="1"/>
    <s v="May"/>
    <x v="1"/>
    <n v="8.3000000000000007"/>
    <s v="Watch"/>
    <s v="Good"/>
    <s v="Best"/>
    <n v="119"/>
    <m/>
    <x v="437"/>
    <x v="437"/>
    <m/>
    <s v="Level 33 Entertainment"/>
    <s v="PG-13"/>
    <s v="Kid"/>
  </r>
  <r>
    <s v="The Death of Snow White"/>
    <x v="1"/>
    <s v="May"/>
    <x v="0"/>
    <n v="7.8"/>
    <s v="Watch"/>
    <s v="Good"/>
    <s v="Good"/>
    <n v="117"/>
    <m/>
    <x v="438"/>
    <x v="438"/>
    <m/>
    <s v="Atlas Distribution / The Horror Collective"/>
    <s v="PG-13"/>
    <s v="Kid"/>
  </r>
  <r>
    <s v="Fight or Flight"/>
    <x v="1"/>
    <s v="May"/>
    <x v="18"/>
    <n v="7.9"/>
    <s v="Watch"/>
    <s v="Good"/>
    <s v="Good"/>
    <n v="133"/>
    <m/>
    <x v="439"/>
    <x v="439"/>
    <s v="James Madigan"/>
    <s v="Vertical/Asbury Park Productions"/>
    <s v="PG-13"/>
    <s v="Kid"/>
  </r>
  <r>
    <s v="Nonnas"/>
    <x v="1"/>
    <s v="May"/>
    <x v="1"/>
    <n v="6.6"/>
    <s v="Watch"/>
    <s v="Avg"/>
    <s v="Avg"/>
    <n v="111"/>
    <m/>
    <x v="440"/>
    <x v="440"/>
    <s v="Stephen Chbosky"/>
    <s v="Netflix/Fifth Season/Madison Wells/Matador Content"/>
    <s v="PG-13"/>
    <s v="Kid"/>
  </r>
  <r>
    <s v="Clown in a Cornfield"/>
    <x v="1"/>
    <s v="May"/>
    <x v="1"/>
    <n v="6.5"/>
    <s v="Don't Watch"/>
    <s v="Avg"/>
    <s v="Avg"/>
    <n v="131"/>
    <m/>
    <x v="441"/>
    <x v="441"/>
    <m/>
    <s v="Screamtime Films /Magnet Releasing"/>
    <s v="PG-13"/>
    <s v="Kid"/>
  </r>
  <r>
    <s v="Unit 234"/>
    <x v="1"/>
    <s v="May"/>
    <x v="1"/>
    <n v="7.9"/>
    <s v="Watch"/>
    <s v="Good"/>
    <s v="Good"/>
    <n v="91"/>
    <m/>
    <x v="442"/>
    <x v="442"/>
    <s v="Andy Tennant"/>
    <s v="Brainstorm Media"/>
    <s v="PG-13"/>
    <s v="Kid"/>
  </r>
  <r>
    <s v="Summer of 69"/>
    <x v="1"/>
    <s v="May"/>
    <x v="10"/>
    <n v="7"/>
    <s v="Watch"/>
    <s v="Avg"/>
    <s v="Good"/>
    <n v="136"/>
    <m/>
    <x v="443"/>
    <x v="443"/>
    <m/>
    <s v="Hulu/American High"/>
    <s v="PG-13"/>
    <s v="Kid"/>
  </r>
  <r>
    <s v="Lilly"/>
    <x v="1"/>
    <s v="May"/>
    <x v="1"/>
    <n v="6.2"/>
    <s v="Don't Watch"/>
    <s v="Avg"/>
    <s v="Avg"/>
    <n v="158"/>
    <m/>
    <x v="444"/>
    <x v="444"/>
    <m/>
    <s v="Blue Harbor Entertainment /Artemis Rising Foundation"/>
    <s v="PG-13"/>
    <s v="Kid"/>
  </r>
  <r>
    <s v="Hurry Up Tomorrow"/>
    <x v="1"/>
    <s v="May"/>
    <x v="2"/>
    <n v="6.1"/>
    <s v="Don't Watch"/>
    <s v="Avg"/>
    <s v="Avg"/>
    <n v="112"/>
    <m/>
    <x v="445"/>
    <x v="445"/>
    <m/>
    <s v="Lionsgate/Live Nation Productions"/>
    <s v="PG-13"/>
    <s v="Kid"/>
  </r>
  <r>
    <s v="Mission: Impossible – The Final Reckoning"/>
    <x v="1"/>
    <s v="May"/>
    <x v="2"/>
    <n v="8"/>
    <s v="Watch"/>
    <s v="Good"/>
    <s v="Good"/>
    <n v="161"/>
    <m/>
    <x v="446"/>
    <x v="446"/>
    <m/>
    <s v="Paramount Pictures/Skydance Media/TC Productions"/>
    <s v="PG-13"/>
    <s v="Kid"/>
  </r>
  <r>
    <s v="Fountain of Youth"/>
    <x v="1"/>
    <s v="May"/>
    <x v="1"/>
    <n v="7.2"/>
    <s v="Watch"/>
    <s v="Good"/>
    <s v="Good"/>
    <n v="90"/>
    <m/>
    <x v="447"/>
    <x v="447"/>
    <s v="Guy Ritchie"/>
    <s v="Apple TV+/Apple Studios/Skydance Media/Radio Silence Productions"/>
    <s v="PG-13"/>
    <s v="Kid"/>
  </r>
  <r>
    <s v="Fear Street: Prom Queen"/>
    <x v="1"/>
    <s v="May"/>
    <x v="1"/>
    <n v="8.4"/>
    <s v="Watch"/>
    <s v="Good"/>
    <s v="Best"/>
    <n v="156"/>
    <m/>
    <x v="448"/>
    <x v="448"/>
    <m/>
    <s v="Netflix/Chernin Entertainment"/>
    <s v="PG-13"/>
    <s v="Kid"/>
  </r>
  <r>
    <s v="The Last Rodeo"/>
    <x v="1"/>
    <s v="May"/>
    <x v="17"/>
    <n v="8"/>
    <s v="Watch"/>
    <s v="Good"/>
    <s v="Good"/>
    <n v="152"/>
    <m/>
    <x v="449"/>
    <x v="449"/>
    <m/>
    <s v="Angel Studios"/>
    <s v="PG-13"/>
    <s v="Kid"/>
  </r>
  <r>
    <s v="Bad Shabbos"/>
    <x v="1"/>
    <s v="May"/>
    <x v="1"/>
    <n v="8.3000000000000007"/>
    <s v="Watch"/>
    <s v="Good"/>
    <s v="Best"/>
    <n v="116"/>
    <m/>
    <x v="450"/>
    <x v="450"/>
    <m/>
    <s v="Menemsha Films / Carnegie Hill Entertainment"/>
    <s v="PG-13"/>
    <s v="Kid"/>
  </r>
  <r>
    <s v="The Phoenician Scheme"/>
    <x v="1"/>
    <s v="May"/>
    <x v="1"/>
    <n v="6.4"/>
    <s v="Don't Watch"/>
    <s v="Avg"/>
    <s v="Avg"/>
    <n v="112"/>
    <m/>
    <x v="451"/>
    <x v="451"/>
    <m/>
    <s v="Focus Features/Indian Paintbrush"/>
    <s v="PG-13"/>
    <s v="Kid"/>
  </r>
  <r>
    <s v="Joy to the World"/>
    <x v="1"/>
    <s v="November"/>
    <x v="5"/>
    <n v="9"/>
    <s v="Watch"/>
    <s v="Best"/>
    <s v="Best"/>
    <n v="135"/>
    <m/>
    <x v="452"/>
    <x v="452"/>
    <s v="Jerry Ciccoritti"/>
    <s v="Hulu/Disney+"/>
    <s v="PG-13"/>
    <s v="Kid"/>
  </r>
  <r>
    <s v="The Christmas Ring"/>
    <x v="1"/>
    <s v="November"/>
    <x v="1"/>
    <n v="8.4"/>
    <s v="Watch"/>
    <s v="Good"/>
    <s v="Best"/>
    <n v="135"/>
    <m/>
    <x v="122"/>
    <x v="122"/>
    <m/>
    <s v="Fathom Entertainment"/>
    <s v="PG-13"/>
    <s v="Kid"/>
  </r>
  <r>
    <s v="Predator: Badlands"/>
    <x v="1"/>
    <s v="November"/>
    <x v="1"/>
    <n v="7.2"/>
    <s v="Watch"/>
    <s v="Good"/>
    <s v="Good"/>
    <n v="156"/>
    <m/>
    <x v="453"/>
    <x v="453"/>
    <m/>
    <s v="20th Century Studios/Davis Entertainment/Lawrence Gordon Productions"/>
    <s v="PG-13"/>
    <s v="Kid"/>
  </r>
  <r>
    <s v="A Merry Little Ex-Mas"/>
    <x v="1"/>
    <s v="November"/>
    <x v="3"/>
    <n v="9"/>
    <s v="Watch"/>
    <s v="Best"/>
    <s v="Best"/>
    <n v="123"/>
    <m/>
    <x v="454"/>
    <x v="454"/>
    <s v="Steve Carr"/>
    <s v="Netflix/Hartbreak Films"/>
    <s v="PG-13"/>
    <s v="Kid"/>
  </r>
  <r>
    <s v="Now You See Me: Now You Don't"/>
    <x v="1"/>
    <s v="November"/>
    <x v="1"/>
    <n v="7"/>
    <s v="Watch"/>
    <s v="Avg"/>
    <s v="Good"/>
    <n v="97"/>
    <m/>
    <x v="455"/>
    <x v="455"/>
    <s v="Ruben Fleischer"/>
    <s v="Lionsgate/Summit Entertainment/Secret Hideout"/>
    <s v="PG-13"/>
    <s v="Kid"/>
  </r>
  <r>
    <s v="Wicked: For Good"/>
    <x v="1"/>
    <s v="November"/>
    <x v="1"/>
    <n v="6.2"/>
    <s v="Don't Watch"/>
    <s v="Avg"/>
    <s v="Avg"/>
    <n v="149"/>
    <m/>
    <x v="456"/>
    <x v="456"/>
    <s v="Jon M. Chu"/>
    <s v="Universal Pictures/Marc Platt Productions"/>
    <s v="PG-13"/>
    <s v="Kid"/>
  </r>
  <r>
    <s v="Wildcat"/>
    <x v="1"/>
    <s v="November"/>
    <x v="1"/>
    <n v="9.1"/>
    <s v="Watch"/>
    <s v="Best"/>
    <s v="Best"/>
    <n v="127"/>
    <m/>
    <x v="142"/>
    <x v="142"/>
    <s v="James Nunn"/>
    <s v="Aura Entertainment /Signature Entertainment"/>
    <s v="PG-13"/>
    <s v="Kid"/>
  </r>
  <r>
    <s v="Zootopia 2"/>
    <x v="1"/>
    <s v="November"/>
    <x v="0"/>
    <n v="8.3000000000000007"/>
    <s v="Watch"/>
    <s v="Good"/>
    <s v="Best"/>
    <n v="125"/>
    <m/>
    <x v="457"/>
    <x v="457"/>
    <s v="Byron Howard"/>
    <s v="Walt Disney Pictures/Walt Disney Animation Studios"/>
    <s v="PG"/>
    <s v="Kid"/>
  </r>
  <r>
    <s v="Aftershock: The Nicole P Bell Story"/>
    <x v="1"/>
    <s v="November"/>
    <x v="1"/>
    <n v="8.8000000000000007"/>
    <s v="Watch"/>
    <s v="Best"/>
    <s v="Best"/>
    <n v="91"/>
    <m/>
    <x v="458"/>
    <x v="458"/>
    <m/>
    <s v="Faith Media Distribution / Manny Halley Productions /Roc Nation"/>
    <s v="PG-13"/>
    <s v="Kid"/>
  </r>
  <r>
    <s v="Icefall"/>
    <x v="1"/>
    <s v="November"/>
    <x v="1"/>
    <n v="6.7"/>
    <s v="Watch"/>
    <s v="Avg"/>
    <s v="Avg"/>
    <n v="103"/>
    <m/>
    <x v="459"/>
    <x v="459"/>
    <s v="Stefan Ruzowitzky"/>
    <s v="Aura Entertainment /Arclight Films"/>
    <s v="PG-13"/>
    <s v="Kid"/>
  </r>
  <r>
    <s v="Sarah's Oil"/>
    <x v="1"/>
    <s v="November"/>
    <x v="3"/>
    <n v="8.8000000000000007"/>
    <s v="Watch"/>
    <s v="Best"/>
    <s v="Best"/>
    <n v="163"/>
    <m/>
    <x v="460"/>
    <x v="460"/>
    <m/>
    <s v="Metro-Goldwyn-Mayer/Wonder Project/Kingdom Story Company"/>
    <s v="PG-13"/>
    <s v="Kid"/>
  </r>
  <r>
    <s v="Die My Love"/>
    <x v="1"/>
    <s v="November"/>
    <x v="1"/>
    <n v="9"/>
    <s v="Watch"/>
    <s v="Best"/>
    <s v="Best"/>
    <n v="132"/>
    <m/>
    <x v="461"/>
    <x v="461"/>
    <m/>
    <s v="Mubi/Black Label Media/Excellent Cadaver/Sikelia Productions"/>
    <s v="PG-13"/>
    <s v="Kid"/>
  </r>
  <r>
    <s v="Christy"/>
    <x v="1"/>
    <s v="November"/>
    <x v="17"/>
    <n v="8.8000000000000007"/>
    <s v="Watch"/>
    <s v="Best"/>
    <s v="Best"/>
    <n v="157"/>
    <m/>
    <x v="462"/>
    <x v="462"/>
    <m/>
    <s v="Black Bear Pictures/Anonymous Content"/>
    <s v="PG-13"/>
    <s v="Kid"/>
  </r>
  <r>
    <s v="Train Dreams"/>
    <x v="1"/>
    <s v="November"/>
    <x v="1"/>
    <n v="6.3"/>
    <s v="Don't Watch"/>
    <s v="Avg"/>
    <s v="Avg"/>
    <n v="111"/>
    <m/>
    <x v="463"/>
    <x v="463"/>
    <m/>
    <s v="Netflix/Black Bear Pictures"/>
    <s v="PG-13"/>
    <s v="Kid"/>
  </r>
  <r>
    <s v="In Your Dreams"/>
    <x v="1"/>
    <s v="November"/>
    <x v="0"/>
    <n v="6.7"/>
    <s v="Watch"/>
    <s v="Avg"/>
    <s v="Avg"/>
    <n v="97"/>
    <m/>
    <x v="464"/>
    <x v="464"/>
    <m/>
    <s v="Netflix/Netflix Animation"/>
    <s v="PG-13"/>
    <s v="Kid"/>
  </r>
  <r>
    <s v="Stone Cold Fox"/>
    <x v="1"/>
    <s v="November"/>
    <x v="17"/>
    <n v="9"/>
    <s v="Watch"/>
    <s v="Best"/>
    <s v="Best"/>
    <n v="162"/>
    <m/>
    <x v="258"/>
    <x v="258"/>
    <m/>
    <s v="Vertical"/>
    <s v="PG-13"/>
    <s v="Kid"/>
  </r>
  <r>
    <s v="Exit Protocol"/>
    <x v="1"/>
    <s v="November"/>
    <x v="1"/>
    <n v="7.7"/>
    <s v="Watch"/>
    <s v="Good"/>
    <s v="Good"/>
    <n v="107"/>
    <m/>
    <x v="465"/>
    <x v="465"/>
    <s v="Shane Dax Taylor"/>
    <s v="Saban Films"/>
    <s v="PG-13"/>
    <s v="Kid"/>
  </r>
  <r>
    <s v="All That We Love"/>
    <x v="1"/>
    <s v="November"/>
    <x v="1"/>
    <n v="9.1"/>
    <s v="Watch"/>
    <s v="Best"/>
    <s v="Best"/>
    <n v="112"/>
    <m/>
    <x v="150"/>
    <x v="150"/>
    <m/>
    <s v="Vertical/Ley Line Entertainment"/>
    <s v="PG-13"/>
    <s v="Kid"/>
  </r>
  <r>
    <s v="Long Shadows"/>
    <x v="1"/>
    <s v="November"/>
    <x v="1"/>
    <n v="7.8"/>
    <s v="Watch"/>
    <s v="Good"/>
    <s v="Good"/>
    <n v="126"/>
    <m/>
    <x v="39"/>
    <x v="39"/>
    <m/>
    <s v="Quiver Distribution"/>
    <s v="PG-13"/>
    <s v="Kid"/>
  </r>
  <r>
    <s v="Unexpected Christmas"/>
    <x v="1"/>
    <s v="November"/>
    <x v="1"/>
    <n v="7.8"/>
    <s v="Watch"/>
    <s v="Good"/>
    <s v="Good"/>
    <n v="159"/>
    <m/>
    <x v="466"/>
    <x v="466"/>
    <s v="Michael Vaughn Hernandez"/>
    <s v="Eammon Films / 3 Diamonds Entertainment"/>
    <s v="PG-13"/>
    <s v="Kid"/>
  </r>
  <r>
    <s v="Playdate"/>
    <x v="1"/>
    <s v="November"/>
    <x v="5"/>
    <n v="6.7"/>
    <s v="Watch"/>
    <s v="Avg"/>
    <s v="Avg"/>
    <n v="160"/>
    <m/>
    <x v="101"/>
    <x v="101"/>
    <s v="Luke Greenfield"/>
    <s v="Amazon MGM Studios"/>
    <s v="PG-13"/>
    <s v="Kid"/>
  </r>
  <r>
    <s v="The Running Man"/>
    <x v="1"/>
    <s v="November"/>
    <x v="5"/>
    <n v="6"/>
    <s v="Don't Watch"/>
    <s v="Avg"/>
    <s v="Avg"/>
    <n v="114"/>
    <m/>
    <x v="467"/>
    <x v="467"/>
    <m/>
    <s v="Paramount Pictures/Kinberg Genre"/>
    <s v="PG-13"/>
    <s v="Kid"/>
  </r>
  <r>
    <s v="Keeper"/>
    <x v="1"/>
    <s v="November"/>
    <x v="12"/>
    <n v="8.1999999999999993"/>
    <s v="Watch"/>
    <s v="Good"/>
    <s v="Best"/>
    <n v="94"/>
    <m/>
    <x v="468"/>
    <x v="468"/>
    <s v="Osgood Perkins"/>
    <s v="Neon"/>
    <s v="PG-13"/>
    <s v="Kid"/>
  </r>
  <r>
    <s v="Jay Kelly"/>
    <x v="1"/>
    <s v="November"/>
    <x v="2"/>
    <n v="8.4"/>
    <s v="Watch"/>
    <s v="Good"/>
    <s v="Best"/>
    <n v="102"/>
    <m/>
    <x v="469"/>
    <x v="469"/>
    <m/>
    <s v="Netflix/Pascal Pictures/Heyday Films"/>
    <s v="PG-13"/>
    <s v="Kid"/>
  </r>
  <r>
    <s v="Trap House"/>
    <x v="1"/>
    <s v="November"/>
    <x v="1"/>
    <n v="7"/>
    <s v="Watch"/>
    <s v="Avg"/>
    <s v="Good"/>
    <n v="145"/>
    <m/>
    <x v="470"/>
    <x v="470"/>
    <s v="Michael Dowse"/>
    <s v="Aura Entertainment /Scott Free Productions"/>
    <s v="PG-13"/>
    <s v="Kid"/>
  </r>
  <r>
    <s v="Arco"/>
    <x v="1"/>
    <s v="November"/>
    <x v="1"/>
    <n v="6.5"/>
    <s v="Don't Watch"/>
    <s v="Avg"/>
    <s v="Avg"/>
    <n v="104"/>
    <m/>
    <x v="471"/>
    <x v="471"/>
    <m/>
    <s v="Neon/MountainA"/>
    <s v="PG-13"/>
    <s v="Kid"/>
  </r>
  <r>
    <s v="A Very Jonas Christmas Movie"/>
    <x v="1"/>
    <s v="November"/>
    <x v="4"/>
    <n v="7.4"/>
    <s v="Watch"/>
    <s v="Good"/>
    <s v="Good"/>
    <n v="116"/>
    <m/>
    <x v="472"/>
    <x v="472"/>
    <s v="Jessica Yu"/>
    <s v="Disney+/Disney Branded Television/20th Television"/>
    <s v="PG-13"/>
    <s v="Kid"/>
  </r>
  <r>
    <s v="Left-Handed Girl"/>
    <x v="1"/>
    <s v="November"/>
    <x v="1"/>
    <n v="7"/>
    <s v="Watch"/>
    <s v="Avg"/>
    <s v="Good"/>
    <n v="115"/>
    <m/>
    <x v="336"/>
    <x v="336"/>
    <m/>
    <s v="Netflix/Le Pacte"/>
    <s v="PG-13"/>
    <s v="Kid"/>
  </r>
  <r>
    <s v="The Perfect Gamble"/>
    <x v="1"/>
    <s v="November"/>
    <x v="5"/>
    <n v="7.2"/>
    <s v="Watch"/>
    <s v="Good"/>
    <s v="Good"/>
    <n v="90"/>
    <m/>
    <x v="447"/>
    <x v="447"/>
    <s v="Danny Abeckaser"/>
    <s v="Saban Films"/>
    <s v="PG-13"/>
    <s v="Kid"/>
  </r>
  <r>
    <s v="Bull Run"/>
    <x v="1"/>
    <s v="November"/>
    <x v="5"/>
    <n v="8.6"/>
    <s v="Watch"/>
    <s v="Best"/>
    <s v="Best"/>
    <n v="155"/>
    <m/>
    <x v="473"/>
    <x v="473"/>
    <m/>
    <s v="Vertical"/>
    <s v="PG-13"/>
    <s v="Kid"/>
  </r>
  <r>
    <s v="Murder at the Embassy"/>
    <x v="1"/>
    <s v="November"/>
    <x v="14"/>
    <n v="6.9"/>
    <s v="Watch"/>
    <s v="Avg"/>
    <s v="Avg"/>
    <n v="117"/>
    <m/>
    <x v="274"/>
    <x v="274"/>
    <s v="Stephen Shimek"/>
    <s v="Lionsgate"/>
    <s v="PG-13"/>
    <s v="Kid"/>
  </r>
  <r>
    <s v="Muzzle: City of Wolves"/>
    <x v="1"/>
    <s v="November"/>
    <x v="5"/>
    <n v="8.9"/>
    <s v="Watch"/>
    <s v="Best"/>
    <s v="Best"/>
    <n v="128"/>
    <m/>
    <x v="474"/>
    <x v="474"/>
    <s v="John Stalberg Jr."/>
    <s v="RLJE Films"/>
    <s v="PG-13"/>
    <s v="Kid"/>
  </r>
  <r>
    <s v="Bunny"/>
    <x v="1"/>
    <s v="November"/>
    <x v="12"/>
    <n v="6.8"/>
    <s v="Watch"/>
    <s v="Avg"/>
    <s v="Avg"/>
    <n v="164"/>
    <m/>
    <x v="475"/>
    <x v="475"/>
    <m/>
    <s v="Vertical"/>
    <s v="PG-13"/>
    <s v="Kid"/>
  </r>
  <r>
    <s v="Rental Family"/>
    <x v="1"/>
    <s v="November"/>
    <x v="4"/>
    <n v="7.4"/>
    <s v="Watch"/>
    <s v="Good"/>
    <s v="Good"/>
    <n v="146"/>
    <m/>
    <x v="476"/>
    <x v="476"/>
    <m/>
    <s v="Searchlight Pictures"/>
    <s v="PG-13"/>
    <s v="Kid"/>
  </r>
  <r>
    <s v="The Family Plan 2"/>
    <x v="1"/>
    <s v="November"/>
    <x v="5"/>
    <n v="6"/>
    <s v="Don't Watch"/>
    <s v="Avg"/>
    <s v="Avg"/>
    <n v="105"/>
    <m/>
    <x v="204"/>
    <x v="204"/>
    <s v="Simon Cellan Jones"/>
    <s v="Apple TV+/Apple Studios/Skydance Media"/>
    <s v="PG-13"/>
    <s v="Kid"/>
  </r>
  <r>
    <s v="Blue Eyed Girl"/>
    <x v="1"/>
    <s v="November"/>
    <x v="6"/>
    <n v="6.3"/>
    <s v="Don't Watch"/>
    <s v="Avg"/>
    <s v="Avg"/>
    <n v="135"/>
    <m/>
    <x v="477"/>
    <x v="477"/>
    <s v="J. Mills Goodloe"/>
    <s v="Quiver Distribution"/>
    <s v="PG-13"/>
    <s v="Kid"/>
  </r>
  <r>
    <s v="Blood Star"/>
    <x v="1"/>
    <s v="November"/>
    <x v="9"/>
    <n v="8.6"/>
    <s v="Watch"/>
    <s v="Best"/>
    <s v="Best"/>
    <n v="128"/>
    <m/>
    <x v="342"/>
    <x v="342"/>
    <m/>
    <s v="Quiver Distribution/ Beast Production"/>
    <s v="R"/>
    <s v="Adult"/>
  </r>
  <r>
    <s v="Hamnet"/>
    <x v="1"/>
    <s v="November"/>
    <x v="1"/>
    <n v="8.3000000000000007"/>
    <s v="Watch"/>
    <s v="Good"/>
    <s v="Best"/>
    <n v="95"/>
    <m/>
    <x v="478"/>
    <x v="478"/>
    <m/>
    <s v="Focus Features/Amblin Entertainment/Neal Street Productions"/>
    <s v="PG-13"/>
    <s v="Kid"/>
  </r>
  <r>
    <s v="Eternity"/>
    <x v="1"/>
    <s v="November"/>
    <x v="17"/>
    <n v="6.6"/>
    <s v="Watch"/>
    <s v="Avg"/>
    <s v="Avg"/>
    <n v="117"/>
    <m/>
    <x v="197"/>
    <x v="197"/>
    <s v="David Freyne"/>
    <s v="A24/Apple Original Films"/>
    <s v="PG-13"/>
    <s v="Kid"/>
  </r>
  <r>
    <s v="Jingle Bell Heist"/>
    <x v="1"/>
    <s v="November"/>
    <x v="14"/>
    <n v="7.8"/>
    <s v="Watch"/>
    <s v="Good"/>
    <s v="Good"/>
    <n v="147"/>
    <m/>
    <x v="479"/>
    <x v="479"/>
    <s v="Michael Fimognari"/>
    <s v="Netflix"/>
    <s v="PG-13"/>
    <s v="Kid"/>
  </r>
  <r>
    <s v="Stone Creek Killer"/>
    <x v="1"/>
    <s v="November"/>
    <x v="14"/>
    <n v="7.5"/>
    <s v="Watch"/>
    <s v="Good"/>
    <s v="Good"/>
    <n v="126"/>
    <m/>
    <x v="402"/>
    <x v="402"/>
    <s v="Robert Enriquez"/>
    <s v="Vertical"/>
    <s v="PG-13"/>
    <s v="Kid"/>
  </r>
  <r>
    <s v="Play Dirty"/>
    <x v="1"/>
    <s v="October"/>
    <x v="5"/>
    <n v="7.7"/>
    <s v="Watch"/>
    <s v="Good"/>
    <s v="Good"/>
    <n v="152"/>
    <m/>
    <x v="480"/>
    <x v="480"/>
    <m/>
    <s v="Amazon MGM Studios/Team Downey"/>
    <s v="PG-13"/>
    <s v="Kid"/>
  </r>
  <r>
    <s v="Maintenance Required"/>
    <x v="1"/>
    <s v="October"/>
    <x v="1"/>
    <n v="8"/>
    <s v="Watch"/>
    <s v="Good"/>
    <s v="Good"/>
    <n v="128"/>
    <m/>
    <x v="481"/>
    <x v="481"/>
    <m/>
    <s v="Amazon MGM Studios"/>
    <s v="PG-13"/>
    <s v="Kid"/>
  </r>
  <r>
    <s v="Tron: Ares"/>
    <x v="1"/>
    <s v="October"/>
    <x v="18"/>
    <n v="8.5"/>
    <s v="Watch"/>
    <s v="Good"/>
    <s v="Best"/>
    <n v="94"/>
    <m/>
    <x v="109"/>
    <x v="109"/>
    <s v="Joachim Rønning"/>
    <s v="Walt Disney Pictures"/>
    <s v="PG-13"/>
    <s v="Kid"/>
  </r>
  <r>
    <s v="Black Phone 2"/>
    <x v="1"/>
    <s v="October"/>
    <x v="7"/>
    <n v="8"/>
    <s v="Watch"/>
    <s v="Good"/>
    <s v="Good"/>
    <n v="137"/>
    <m/>
    <x v="482"/>
    <x v="482"/>
    <m/>
    <s v="Universal Pictures/Blumhouse Productions"/>
    <s v="R"/>
    <s v="Adult"/>
  </r>
  <r>
    <s v="Regretting You"/>
    <x v="1"/>
    <s v="October"/>
    <x v="5"/>
    <n v="8.6"/>
    <s v="Watch"/>
    <s v="Best"/>
    <s v="Best"/>
    <n v="140"/>
    <m/>
    <x v="483"/>
    <x v="483"/>
    <s v="Josh Boone"/>
    <s v="Paramount Pictures/Constantin Film"/>
    <s v="PG-13"/>
    <s v="Kid"/>
  </r>
  <r>
    <s v="Anniversary"/>
    <x v="1"/>
    <s v="October"/>
    <x v="2"/>
    <n v="8.6999999999999993"/>
    <s v="Watch"/>
    <s v="Best"/>
    <s v="Best"/>
    <n v="135"/>
    <m/>
    <x v="148"/>
    <x v="148"/>
    <s v="Jan Komasa"/>
    <s v="Lionsgate/Roadside Attractions/Fifth Season/Chockstone Pictures"/>
    <s v="PG-13"/>
    <s v="Kid"/>
  </r>
  <r>
    <s v="Self-Help"/>
    <x v="1"/>
    <s v="October"/>
    <x v="17"/>
    <n v="7.9"/>
    <s v="Watch"/>
    <s v="Good"/>
    <s v="Good"/>
    <n v="97"/>
    <m/>
    <x v="484"/>
    <x v="484"/>
    <m/>
    <s v="Cineverse/Bloody Disgusting"/>
    <s v="PG-13"/>
    <s v="Kid"/>
  </r>
  <r>
    <s v="Nouvelle Vague"/>
    <x v="1"/>
    <s v="October"/>
    <x v="9"/>
    <n v="6.4"/>
    <s v="Don't Watch"/>
    <s v="Avg"/>
    <s v="Avg"/>
    <n v="118"/>
    <m/>
    <x v="485"/>
    <x v="485"/>
    <s v="Richard Linklater"/>
    <s v="Netflix/ ARP Productions"/>
    <s v="R"/>
    <s v="Adult"/>
  </r>
  <r>
    <s v="Anemone"/>
    <x v="1"/>
    <s v="October"/>
    <x v="1"/>
    <n v="8.6"/>
    <s v="Watch"/>
    <s v="Best"/>
    <s v="Best"/>
    <n v="122"/>
    <m/>
    <x v="486"/>
    <x v="486"/>
    <m/>
    <s v="Focus Features/Plan B Entertainment"/>
    <s v="PG-13"/>
    <s v="Kid"/>
  </r>
  <r>
    <s v="Shell"/>
    <x v="1"/>
    <s v="October"/>
    <x v="1"/>
    <n v="8.1"/>
    <s v="Watch"/>
    <s v="Good"/>
    <s v="Best"/>
    <n v="144"/>
    <m/>
    <x v="487"/>
    <x v="487"/>
    <s v="Max Minghella"/>
    <s v="Republic Pictures/Dark Castle Entertainment"/>
    <s v="PG-13"/>
    <s v="Kid"/>
  </r>
  <r>
    <s v="Bone Lake"/>
    <x v="1"/>
    <s v="October"/>
    <x v="1"/>
    <n v="8.1"/>
    <s v="Watch"/>
    <s v="Good"/>
    <s v="Best"/>
    <n v="141"/>
    <m/>
    <x v="488"/>
    <x v="488"/>
    <s v="Mercedes Bryce Morgan"/>
    <s v="Bleecker Street/LD Entertainment"/>
    <s v="PG-13"/>
    <s v="Kid"/>
  </r>
  <r>
    <s v="Coyotes"/>
    <x v="1"/>
    <s v="October"/>
    <x v="1"/>
    <n v="8.8000000000000007"/>
    <s v="Watch"/>
    <s v="Best"/>
    <s v="Best"/>
    <n v="157"/>
    <m/>
    <x v="462"/>
    <x v="462"/>
    <s v="Colin Minihan"/>
    <s v="Aura Entertainment / Gramercy Park Media"/>
    <s v="PG-13"/>
    <s v="Kid"/>
  </r>
  <r>
    <s v="Roofman"/>
    <x v="1"/>
    <s v="October"/>
    <x v="2"/>
    <n v="6.8"/>
    <s v="Watch"/>
    <s v="Avg"/>
    <s v="Avg"/>
    <n v="137"/>
    <m/>
    <x v="489"/>
    <x v="489"/>
    <m/>
    <s v="Paramount Pictures/Miramax/FilmNation Entertainment"/>
    <s v="PG-13"/>
    <s v="Kid"/>
  </r>
  <r>
    <s v="After the Hunt"/>
    <x v="1"/>
    <s v="October"/>
    <x v="15"/>
    <n v="8.3000000000000007"/>
    <s v="Watch"/>
    <s v="Good"/>
    <s v="Best"/>
    <n v="113"/>
    <m/>
    <x v="94"/>
    <x v="94"/>
    <s v="Luca Guadagnino"/>
    <s v="Metro-Goldwyn-Mayer/Imagine Entertainment/Frenesy Film Company"/>
    <s v="PG-13"/>
    <s v="Kid"/>
  </r>
  <r>
    <s v="Soul on Fire"/>
    <x v="1"/>
    <s v="October"/>
    <x v="1"/>
    <n v="7.7"/>
    <s v="Watch"/>
    <s v="Good"/>
    <s v="Good"/>
    <n v="134"/>
    <m/>
    <x v="490"/>
    <x v="490"/>
    <s v="Sean McNamara"/>
    <s v="Affirm Films/ Brookwell McNamara Entertainment"/>
    <s v="PG-13"/>
    <s v="Kid"/>
  </r>
  <r>
    <s v="A House of Dynamite"/>
    <x v="1"/>
    <s v="October"/>
    <x v="11"/>
    <n v="7.3"/>
    <s v="Watch"/>
    <s v="Good"/>
    <s v="Good"/>
    <n v="157"/>
    <m/>
    <x v="160"/>
    <x v="160"/>
    <s v="Kathryn Bigelow"/>
    <s v="Netflix"/>
    <s v="PG-13"/>
    <s v="Kid"/>
  </r>
  <r>
    <s v="The Woman in Cabin 10"/>
    <x v="1"/>
    <s v="October"/>
    <x v="7"/>
    <n v="7.6"/>
    <s v="Watch"/>
    <s v="Good"/>
    <s v="Good"/>
    <n v="160"/>
    <m/>
    <x v="491"/>
    <x v="491"/>
    <m/>
    <s v="Netflix/Sister"/>
    <s v="R"/>
    <s v="Adult"/>
  </r>
  <r>
    <s v="The Twits"/>
    <x v="1"/>
    <s v="October"/>
    <x v="0"/>
    <n v="7.4"/>
    <s v="Watch"/>
    <s v="Good"/>
    <s v="Good"/>
    <n v="125"/>
    <m/>
    <x v="134"/>
    <x v="134"/>
    <m/>
    <s v="Netflix/Netflix Animation/Jellyfish Pictures"/>
    <s v="PG-13"/>
    <s v="Kid"/>
  </r>
  <r>
    <s v="Truth &amp; Treason"/>
    <x v="1"/>
    <s v="October"/>
    <x v="6"/>
    <n v="8.8000000000000007"/>
    <s v="Watch"/>
    <s v="Best"/>
    <s v="Best"/>
    <n v="109"/>
    <m/>
    <x v="492"/>
    <x v="492"/>
    <m/>
    <s v="Angel"/>
    <s v="PG-13"/>
    <s v="Kid"/>
  </r>
  <r>
    <s v="Blue Moon"/>
    <x v="1"/>
    <s v="October"/>
    <x v="3"/>
    <n v="8"/>
    <s v="Watch"/>
    <s v="Good"/>
    <s v="Good"/>
    <n v="98"/>
    <m/>
    <x v="493"/>
    <x v="493"/>
    <s v="Richard Linklater"/>
    <s v="Sony Pictures Classics/Cinetic Media"/>
    <s v="PG-13"/>
    <s v="Kid"/>
  </r>
  <r>
    <s v="The Hand That Rocks the Cradle"/>
    <x v="1"/>
    <s v="October"/>
    <x v="1"/>
    <n v="8.3000000000000007"/>
    <s v="Watch"/>
    <s v="Good"/>
    <s v="Best"/>
    <n v="116"/>
    <m/>
    <x v="494"/>
    <x v="494"/>
    <s v="Michelle Garza Cervera"/>
    <s v="Hulu/20th Century Studios/Radar Pictures"/>
    <s v="PG-13"/>
    <s v="Kid"/>
  </r>
  <r>
    <s v="Bugonia"/>
    <x v="1"/>
    <s v="October"/>
    <x v="1"/>
    <n v="8.8000000000000007"/>
    <s v="Watch"/>
    <s v="Best"/>
    <s v="Best"/>
    <n v="124"/>
    <m/>
    <x v="495"/>
    <x v="495"/>
    <s v="Yorgos Lanthimos"/>
    <s v="Focus Features/CJ ENM/Fruit Tree/Element Pictures"/>
    <s v="PG-13"/>
    <s v="Kid"/>
  </r>
  <r>
    <s v="Last Days"/>
    <x v="1"/>
    <s v="October"/>
    <x v="1"/>
    <n v="8.4"/>
    <s v="Watch"/>
    <s v="Good"/>
    <s v="Best"/>
    <n v="102"/>
    <m/>
    <x v="469"/>
    <x v="469"/>
    <s v="Justin Lin"/>
    <s v="Vertical/Gotham Group/Brillstein Entertainment Partners"/>
    <s v="PG-13"/>
    <s v="Kid"/>
  </r>
  <r>
    <s v="Queens of the Dead"/>
    <x v="1"/>
    <s v="October"/>
    <x v="7"/>
    <n v="7.6"/>
    <s v="Watch"/>
    <s v="Good"/>
    <s v="Good"/>
    <n v="136"/>
    <m/>
    <x v="496"/>
    <x v="496"/>
    <m/>
    <s v="Independent Film Company/Shudder"/>
    <s v="R"/>
    <s v="Adult"/>
  </r>
  <r>
    <s v="In Our Blood"/>
    <x v="1"/>
    <s v="October"/>
    <x v="1"/>
    <n v="6.9"/>
    <s v="Watch"/>
    <s v="Avg"/>
    <s v="Avg"/>
    <n v="93"/>
    <m/>
    <x v="497"/>
    <x v="497"/>
    <s v="Pedro Kos"/>
    <s v="Utopia/Revelations Entertainment"/>
    <s v="PG-13"/>
    <s v="Kid"/>
  </r>
  <r>
    <s v="The Wrecker"/>
    <x v="1"/>
    <s v="October"/>
    <x v="5"/>
    <n v="6"/>
    <s v="Don't Watch"/>
    <s v="Avg"/>
    <s v="Avg"/>
    <n v="159"/>
    <m/>
    <x v="498"/>
    <x v="498"/>
    <s v="Art Camacho"/>
    <s v="Quiver Distribution"/>
    <s v="PG-13"/>
    <s v="Kid"/>
  </r>
  <r>
    <s v="Safe House"/>
    <x v="1"/>
    <s v="October"/>
    <x v="10"/>
    <n v="7.9"/>
    <s v="Watch"/>
    <s v="Good"/>
    <s v="Good"/>
    <n v="121"/>
    <m/>
    <x v="358"/>
    <x v="358"/>
    <s v="Jamie Marshall"/>
    <s v="Vertical/Voltage Pictures"/>
    <s v="PG-13"/>
    <s v="Kid"/>
  </r>
  <r>
    <s v="The Conjuring: Last Rites"/>
    <x v="1"/>
    <s v="September"/>
    <x v="7"/>
    <n v="7.1"/>
    <s v="Watch"/>
    <s v="Good"/>
    <s v="Good"/>
    <n v="149"/>
    <m/>
    <x v="499"/>
    <x v="499"/>
    <s v="Michael Chaves"/>
    <s v="Warner Bros. Pictures/New Line Cinema/Atomic Monster/The Safran Company"/>
    <s v="R"/>
    <s v="Adult"/>
  </r>
  <r>
    <s v="Downton Abbey: The Grand Finale"/>
    <x v="1"/>
    <s v="September"/>
    <x v="7"/>
    <n v="8.6"/>
    <s v="Watch"/>
    <s v="Best"/>
    <s v="Best"/>
    <n v="101"/>
    <m/>
    <x v="500"/>
    <x v="500"/>
    <s v="Simon Curtis"/>
    <s v="Focus Features/Carnival Films"/>
    <s v="R"/>
    <s v="Adult"/>
  </r>
  <r>
    <s v="Him"/>
    <x v="1"/>
    <s v="September"/>
    <x v="4"/>
    <n v="6.1"/>
    <s v="Don't Watch"/>
    <s v="Avg"/>
    <s v="Avg"/>
    <n v="151"/>
    <m/>
    <x v="501"/>
    <x v="501"/>
    <m/>
    <s v="Universal Pictures/Monkeypaw Productions"/>
    <s v="PG-13"/>
    <s v="Kid"/>
  </r>
  <r>
    <s v="Stolen Girl"/>
    <x v="1"/>
    <s v="September"/>
    <x v="2"/>
    <n v="7.5"/>
    <s v="Watch"/>
    <s v="Good"/>
    <s v="Good"/>
    <n v="99"/>
    <m/>
    <x v="149"/>
    <x v="149"/>
    <s v="James Kent"/>
    <s v="Vertical"/>
    <s v="PG-13"/>
    <s v="Kid"/>
  </r>
  <r>
    <s v="The Threesome"/>
    <x v="1"/>
    <s v="September"/>
    <x v="10"/>
    <n v="7.9"/>
    <s v="Watch"/>
    <s v="Good"/>
    <s v="Good"/>
    <n v="151"/>
    <m/>
    <x v="502"/>
    <x v="502"/>
    <s v="Chad Hartigan"/>
    <s v="Vertical"/>
    <s v="PG-13"/>
    <s v="Kid"/>
  </r>
  <r>
    <s v="Preparation for the Next Life"/>
    <x v="1"/>
    <s v="September"/>
    <x v="1"/>
    <n v="6.5"/>
    <s v="Don't Watch"/>
    <s v="Avg"/>
    <s v="Avg"/>
    <n v="122"/>
    <m/>
    <x v="503"/>
    <x v="503"/>
    <s v="Bing Liu"/>
    <s v="Orion Pictures/Plan B Entertainment"/>
    <s v="PG-13"/>
    <s v="Kid"/>
  </r>
  <r>
    <s v="The Cut"/>
    <x v="1"/>
    <s v="September"/>
    <x v="1"/>
    <n v="6.6"/>
    <s v="Watch"/>
    <s v="Avg"/>
    <s v="Avg"/>
    <n v="111"/>
    <m/>
    <x v="440"/>
    <x v="440"/>
    <s v="Sean Ellis"/>
    <s v="Republic Pictures"/>
    <s v="PG-13"/>
    <s v="Kid"/>
  </r>
  <r>
    <s v="Bad Man"/>
    <x v="1"/>
    <s v="September"/>
    <x v="1"/>
    <n v="9"/>
    <s v="Watch"/>
    <s v="Best"/>
    <s v="Best"/>
    <n v="144"/>
    <m/>
    <x v="504"/>
    <x v="504"/>
    <m/>
    <s v="Vertical/C'est Lovi Productions/SSS Entertainment"/>
    <s v="PG-13"/>
    <s v="Kid"/>
  </r>
  <r>
    <s v="The Baltimorons"/>
    <x v="1"/>
    <s v="September"/>
    <x v="5"/>
    <n v="7"/>
    <s v="Watch"/>
    <s v="Avg"/>
    <s v="Good"/>
    <n v="148"/>
    <m/>
    <x v="505"/>
    <x v="505"/>
    <m/>
    <s v="Independent Film Company/Duplass Brothers Productions"/>
    <s v="PG-13"/>
    <s v="Kid"/>
  </r>
  <r>
    <s v="Light of the World"/>
    <x v="1"/>
    <s v="September"/>
    <x v="18"/>
    <n v="7.6"/>
    <s v="Watch"/>
    <s v="Good"/>
    <s v="Good"/>
    <n v="94"/>
    <m/>
    <x v="506"/>
    <x v="506"/>
    <s v="Tom Bancroft, John Schafer"/>
    <s v="Salvation Poem Project / Epipheo / Lighthouse Studios"/>
    <s v="PG-13"/>
    <s v="Kid"/>
  </r>
  <r>
    <s v="The Long Walk"/>
    <x v="1"/>
    <s v="September"/>
    <x v="2"/>
    <n v="6.9"/>
    <s v="Watch"/>
    <s v="Avg"/>
    <s v="Avg"/>
    <n v="117"/>
    <m/>
    <x v="507"/>
    <x v="507"/>
    <s v="Francis Lawrence"/>
    <s v="Lionsgate/Vertigo Entertainment"/>
    <s v="PG-13"/>
    <s v="Kid"/>
  </r>
  <r>
    <s v="Spinal Tap II: The End Continues"/>
    <x v="1"/>
    <s v="September"/>
    <x v="1"/>
    <n v="9.1999999999999993"/>
    <s v="Watch"/>
    <s v="Best"/>
    <s v="Best"/>
    <n v="107"/>
    <m/>
    <x v="508"/>
    <x v="508"/>
    <m/>
    <s v="Bleecker Street/Castle Rock Entertainment"/>
    <s v="PG-13"/>
    <s v="Kid"/>
  </r>
  <r>
    <s v="The History of Sound"/>
    <x v="1"/>
    <s v="September"/>
    <x v="1"/>
    <n v="6.4"/>
    <s v="Don't Watch"/>
    <s v="Avg"/>
    <s v="Avg"/>
    <n v="163"/>
    <m/>
    <x v="509"/>
    <x v="509"/>
    <s v="Oliver Hermanus"/>
    <s v="Mubi/Film4/Closer Media/Tango Entertainment"/>
    <s v="PG-13"/>
    <s v="Kid"/>
  </r>
  <r>
    <s v="Tin Soldier"/>
    <x v="1"/>
    <s v="September"/>
    <x v="2"/>
    <n v="6.9"/>
    <s v="Watch"/>
    <s v="Avg"/>
    <s v="Avg"/>
    <n v="93"/>
    <m/>
    <x v="497"/>
    <x v="497"/>
    <m/>
    <s v="Samuel Goldwyn Films"/>
    <s v="PG-13"/>
    <s v="Kid"/>
  </r>
  <r>
    <s v="The Wrong Paris"/>
    <x v="1"/>
    <s v="September"/>
    <x v="6"/>
    <n v="7.5"/>
    <s v="Watch"/>
    <s v="Good"/>
    <s v="Good"/>
    <n v="129"/>
    <m/>
    <x v="510"/>
    <x v="510"/>
    <s v="Janeen Damian"/>
    <s v="Netflix"/>
    <s v="PG-13"/>
    <s v="Kid"/>
  </r>
  <r>
    <s v="Looking Through Water"/>
    <x v="1"/>
    <s v="September"/>
    <x v="1"/>
    <n v="6.5"/>
    <s v="Don't Watch"/>
    <s v="Avg"/>
    <s v="Avg"/>
    <n v="104"/>
    <m/>
    <x v="511"/>
    <x v="511"/>
    <s v="Roberto Sneider"/>
    <s v="Good Deed Entertainment"/>
    <s v="PG-13"/>
    <s v="Kid"/>
  </r>
  <r>
    <s v="Code 3"/>
    <x v="1"/>
    <s v="September"/>
    <x v="1"/>
    <n v="7.2"/>
    <s v="Watch"/>
    <s v="Good"/>
    <s v="Good"/>
    <n v="102"/>
    <m/>
    <x v="512"/>
    <x v="512"/>
    <m/>
    <s v="Aura Entertainment /Wayfarer Studios"/>
    <s v="PG-13"/>
    <s v="Kid"/>
  </r>
  <r>
    <s v="Motherland"/>
    <x v="1"/>
    <s v="September"/>
    <x v="9"/>
    <n v="8.6999999999999993"/>
    <s v="Watch"/>
    <s v="Best"/>
    <s v="Best"/>
    <n v="153"/>
    <m/>
    <x v="513"/>
    <x v="513"/>
    <s v="Evan Matthews"/>
    <s v="Vertical"/>
    <s v="R"/>
    <s v="Adult"/>
  </r>
  <r>
    <s v="Traumatika"/>
    <x v="1"/>
    <s v="September"/>
    <x v="3"/>
    <n v="9.1999999999999993"/>
    <s v="Watch"/>
    <s v="Best"/>
    <s v="Best"/>
    <n v="158"/>
    <m/>
    <x v="514"/>
    <x v="514"/>
    <m/>
    <s v="Saban Films"/>
    <s v="PG-13"/>
    <s v="Kid"/>
  </r>
  <r>
    <s v="The Man in My Basement"/>
    <x v="1"/>
    <s v="September"/>
    <x v="6"/>
    <n v="8.6999999999999993"/>
    <s v="Watch"/>
    <s v="Best"/>
    <s v="Best"/>
    <n v="144"/>
    <m/>
    <x v="515"/>
    <x v="515"/>
    <m/>
    <s v="Hulu/Andscape"/>
    <s v="PG-13"/>
    <s v="Kid"/>
  </r>
  <r>
    <s v="A Big Bold Beautiful Journey"/>
    <x v="1"/>
    <s v="September"/>
    <x v="6"/>
    <n v="6"/>
    <s v="Don't Watch"/>
    <s v="Avg"/>
    <s v="Avg"/>
    <n v="144"/>
    <m/>
    <x v="516"/>
    <x v="516"/>
    <s v="Kogonada"/>
    <s v="Columbia Pictures/30West"/>
    <s v="PG-13"/>
    <s v="Kid"/>
  </r>
  <r>
    <s v="The Lost Bus"/>
    <x v="1"/>
    <s v="September"/>
    <x v="7"/>
    <n v="8.5"/>
    <s v="Watch"/>
    <s v="Good"/>
    <s v="Best"/>
    <n v="109"/>
    <m/>
    <x v="517"/>
    <x v="517"/>
    <m/>
    <s v="Apple TV+/Apple Studios/Blumhouse Productions"/>
    <s v="R"/>
    <s v="Adult"/>
  </r>
  <r>
    <s v="The Senior"/>
    <x v="1"/>
    <s v="September"/>
    <x v="5"/>
    <n v="6"/>
    <s v="Don't Watch"/>
    <s v="Avg"/>
    <s v="Avg"/>
    <n v="135"/>
    <m/>
    <x v="169"/>
    <x v="169"/>
    <s v="Rod Lurie"/>
    <s v="Angel/Wayfarer Studios"/>
    <s v="PG-13"/>
    <s v="Kid"/>
  </r>
  <r>
    <s v="Swiped"/>
    <x v="1"/>
    <s v="September"/>
    <x v="5"/>
    <n v="6.5"/>
    <s v="Don't Watch"/>
    <s v="Avg"/>
    <s v="Avg"/>
    <n v="110"/>
    <m/>
    <x v="518"/>
    <x v="518"/>
    <m/>
    <s v="Hulu/20th Century Studios"/>
    <s v="PG-13"/>
    <s v="Kid"/>
  </r>
  <r>
    <s v="Adulthood"/>
    <x v="1"/>
    <s v="September"/>
    <x v="5"/>
    <n v="8"/>
    <s v="Watch"/>
    <s v="Good"/>
    <s v="Good"/>
    <n v="122"/>
    <m/>
    <x v="314"/>
    <x v="314"/>
    <s v="Alex Winter"/>
    <s v="Republic Pictures"/>
    <s v="PG-13"/>
    <s v="Kid"/>
  </r>
  <r>
    <s v="London Calling"/>
    <x v="1"/>
    <s v="September"/>
    <x v="1"/>
    <n v="6.7"/>
    <s v="Watch"/>
    <s v="Avg"/>
    <s v="Avg"/>
    <n v="163"/>
    <m/>
    <x v="519"/>
    <x v="519"/>
    <m/>
    <s v="Quiver Distribution"/>
    <s v="PG-13"/>
    <s v="Kid"/>
  </r>
  <r>
    <s v="The Summer Book"/>
    <x v="1"/>
    <s v="September"/>
    <x v="13"/>
    <n v="6.7"/>
    <s v="Watch"/>
    <s v="Avg"/>
    <s v="Avg"/>
    <n v="121"/>
    <m/>
    <x v="168"/>
    <x v="168"/>
    <s v="Charlie McDowell"/>
    <s v="Music Box Films"/>
    <s v="PG-13"/>
    <s v="Kid"/>
  </r>
  <r>
    <s v="Prisoner of War"/>
    <x v="1"/>
    <s v="September"/>
    <x v="2"/>
    <n v="7.8"/>
    <s v="Watch"/>
    <s v="Good"/>
    <s v="Good"/>
    <n v="90"/>
    <m/>
    <x v="520"/>
    <x v="520"/>
    <s v="Louis Mandylor"/>
    <s v="Well Go USA Entertainment"/>
    <s v="PG-13"/>
    <s v="Kid"/>
  </r>
  <r>
    <s v="Doin' It"/>
    <x v="1"/>
    <s v="September"/>
    <x v="1"/>
    <n v="6.6"/>
    <s v="Watch"/>
    <s v="Avg"/>
    <s v="Avg"/>
    <n v="144"/>
    <m/>
    <x v="521"/>
    <x v="521"/>
    <m/>
    <s v="Aura Entertainment /Likely Story"/>
    <s v="PG-13"/>
    <s v="Kid"/>
  </r>
  <r>
    <s v="American Sweatshop"/>
    <x v="1"/>
    <s v="September"/>
    <x v="1"/>
    <n v="8"/>
    <s v="Watch"/>
    <s v="Good"/>
    <s v="Good"/>
    <n v="155"/>
    <m/>
    <x v="522"/>
    <x v="522"/>
    <s v="Uta Briesewitz"/>
    <s v="Brainstorm Media"/>
    <s v="PG-13"/>
    <s v="Kid"/>
  </r>
  <r>
    <s v="Gabby's Dollhouse: The Movie"/>
    <x v="1"/>
    <s v="September"/>
    <x v="0"/>
    <n v="6.8"/>
    <s v="Watch"/>
    <s v="Avg"/>
    <s v="Avg"/>
    <n v="152"/>
    <m/>
    <x v="395"/>
    <x v="395"/>
    <s v="Ryan Crego"/>
    <s v="Universal Pictures/DreamWorks Animation"/>
    <s v="PG-13"/>
    <s v="Kid"/>
  </r>
  <r>
    <s v="The Strangers – Chapter 2"/>
    <x v="1"/>
    <s v="September"/>
    <x v="1"/>
    <n v="8.5"/>
    <s v="Watch"/>
    <s v="Good"/>
    <s v="Best"/>
    <n v="157"/>
    <m/>
    <x v="523"/>
    <x v="523"/>
    <s v="Renny Harlin"/>
    <s v="Lionsgate"/>
    <s v="PG-13"/>
    <s v="Kid"/>
  </r>
  <r>
    <s v="Eleanor the Great"/>
    <x v="1"/>
    <s v="September"/>
    <x v="12"/>
    <n v="8.1999999999999993"/>
    <s v="Watch"/>
    <s v="Good"/>
    <s v="Best"/>
    <n v="109"/>
    <m/>
    <x v="524"/>
    <x v="524"/>
    <s v="Scarlett Johansson"/>
    <s v="Sony Pictures Classics/TriStar Pictures/Pinky Promise/Maven Screen Media"/>
    <s v="PG-13"/>
    <s v="Kid"/>
  </r>
  <r>
    <s v="All of You"/>
    <x v="1"/>
    <s v="September"/>
    <x v="8"/>
    <n v="8.9"/>
    <s v="Watch"/>
    <s v="Best"/>
    <s v="Best"/>
    <n v="140"/>
    <m/>
    <x v="525"/>
    <x v="525"/>
    <m/>
    <s v="Apple TV+/Republic Pictures/MRC/Ryder Picture Company"/>
    <s v="R"/>
    <s v="Adult"/>
  </r>
  <r>
    <s v="Dead of Winter"/>
    <x v="1"/>
    <s v="September"/>
    <x v="4"/>
    <n v="6.1"/>
    <s v="Don't Watch"/>
    <s v="Avg"/>
    <s v="Avg"/>
    <n v="91"/>
    <m/>
    <x v="104"/>
    <x v="104"/>
    <s v="Brian Kirk"/>
    <s v="Vertical/Wild Bunch Germany/Zweites Deutsches Fernsehen"/>
    <s v="PG-13"/>
    <s v="Kid"/>
  </r>
  <r>
    <s v="All the Devils Are Here"/>
    <x v="1"/>
    <s v="September"/>
    <x v="7"/>
    <n v="7.2"/>
    <s v="Watch"/>
    <s v="Good"/>
    <s v="Good"/>
    <n v="153"/>
    <m/>
    <x v="526"/>
    <x v="526"/>
    <s v="Barnaby Roper"/>
    <s v="Republic Pictures/T-Street Productions"/>
    <s v="R"/>
    <s v="Adult"/>
  </r>
  <r>
    <s v="Ruth &amp; Boaz"/>
    <x v="1"/>
    <s v="September"/>
    <x v="5"/>
    <n v="6.5"/>
    <s v="Don't Watch"/>
    <s v="Avg"/>
    <s v="Avg"/>
    <n v="107"/>
    <m/>
    <x v="527"/>
    <x v="527"/>
    <s v="Alanna Brown"/>
    <s v="Netflix/Tyler Perry Studios"/>
    <s v="PG-13"/>
    <s v="Kid"/>
  </r>
  <r>
    <s v="Música"/>
    <x v="2"/>
    <s v="April"/>
    <x v="3"/>
    <n v="8.8000000000000007"/>
    <s v="Watch"/>
    <s v="Best"/>
    <s v="Best"/>
    <n v="157"/>
    <m/>
    <x v="462"/>
    <x v="462"/>
    <m/>
    <s v="Amazon MGM Studios/Wonderland Sound and Vision"/>
    <s v="PG-13"/>
    <s v="Kid"/>
  </r>
  <r>
    <s v="The First Omen"/>
    <x v="2"/>
    <s v="April"/>
    <x v="17"/>
    <n v="8.9"/>
    <s v="Watch"/>
    <s v="Best"/>
    <s v="Best"/>
    <n v="161"/>
    <m/>
    <x v="174"/>
    <x v="174"/>
    <m/>
    <s v="20th Century Studios"/>
    <s v="PG-13"/>
    <s v="Kid"/>
  </r>
  <r>
    <s v="Abigail"/>
    <x v="2"/>
    <s v="April"/>
    <x v="1"/>
    <n v="9.1999999999999993"/>
    <s v="Watch"/>
    <s v="Best"/>
    <s v="Best"/>
    <n v="95"/>
    <m/>
    <x v="528"/>
    <x v="528"/>
    <s v="Matt Bettinelli-Olpin,Tyler Gillett"/>
    <s v="Universal Pictures/Radio Silence Productions"/>
    <s v="PG-13"/>
    <s v="Kid"/>
  </r>
  <r>
    <s v="Downtown Owl"/>
    <x v="2"/>
    <s v="April"/>
    <x v="17"/>
    <n v="8.5"/>
    <s v="Watch"/>
    <s v="Good"/>
    <s v="Best"/>
    <n v="91"/>
    <m/>
    <x v="529"/>
    <x v="529"/>
    <s v="Hamish Linklater,Lily Rabe"/>
    <s v="Stage 6 Films"/>
    <s v="PG-13"/>
    <s v="Kid"/>
  </r>
  <r>
    <s v="Challengers"/>
    <x v="2"/>
    <s v="April"/>
    <x v="1"/>
    <n v="7.7"/>
    <s v="Watch"/>
    <s v="Good"/>
    <s v="Good"/>
    <n v="92"/>
    <m/>
    <x v="530"/>
    <x v="530"/>
    <s v="Luca Guadagnino"/>
    <s v="Metro-Goldwyn-Mayer/Frenesy Film Company/Pascal Pictures"/>
    <s v="PG-13"/>
    <s v="Kid"/>
  </r>
  <r>
    <s v="Monkey Man"/>
    <x v="2"/>
    <s v="April"/>
    <x v="2"/>
    <n v="9"/>
    <s v="Watch"/>
    <s v="Best"/>
    <s v="Best"/>
    <n v="132"/>
    <m/>
    <x v="461"/>
    <x v="461"/>
    <m/>
    <s v="Universal Pictures/Bron Studios/Thunder Road Films/Monkeypaw Productions"/>
    <s v="PG-13"/>
    <s v="Kid"/>
  </r>
  <r>
    <s v="Parachute"/>
    <x v="2"/>
    <s v="April"/>
    <x v="1"/>
    <n v="7.2"/>
    <s v="Watch"/>
    <s v="Good"/>
    <s v="Good"/>
    <n v="114"/>
    <m/>
    <x v="276"/>
    <x v="276"/>
    <m/>
    <s v="Vertical Entertainment"/>
    <s v="PG-13"/>
    <s v="Kid"/>
  </r>
  <r>
    <s v="A Bit of Light"/>
    <x v="2"/>
    <s v="April"/>
    <x v="2"/>
    <n v="8.1"/>
    <s v="Watch"/>
    <s v="Good"/>
    <s v="Best"/>
    <n v="129"/>
    <m/>
    <x v="531"/>
    <x v="531"/>
    <s v="Stephen Moyer"/>
    <s v="Quiver Distribution/ICM Partners"/>
    <s v="PG-13"/>
    <s v="Kid"/>
  </r>
  <r>
    <s v="The People's Joker"/>
    <x v="2"/>
    <s v="April"/>
    <x v="16"/>
    <n v="8.1"/>
    <s v="Watch"/>
    <s v="Good"/>
    <s v="Best"/>
    <n v="141"/>
    <m/>
    <x v="275"/>
    <x v="275"/>
    <m/>
    <s v="Altered Innocence / Haunted Gay Ride Productions"/>
    <s v="PG-13"/>
    <s v="Kid"/>
  </r>
  <r>
    <s v="Rebel Moon – Part Two: The Scargiver"/>
    <x v="2"/>
    <s v="April"/>
    <x v="1"/>
    <n v="8.9"/>
    <s v="Watch"/>
    <s v="Best"/>
    <s v="Best"/>
    <n v="143"/>
    <m/>
    <x v="532"/>
    <x v="532"/>
    <s v="Zack Snyder"/>
    <s v="Netflix/The Stone Quarry"/>
    <s v="PG-13"/>
    <s v="Kid"/>
  </r>
  <r>
    <s v="Damaged"/>
    <x v="2"/>
    <s v="April"/>
    <x v="1"/>
    <n v="8.6"/>
    <s v="Watch"/>
    <s v="Best"/>
    <s v="Best"/>
    <n v="164"/>
    <m/>
    <x v="533"/>
    <x v="533"/>
    <s v="Terry McDonough"/>
    <s v="Lionsgate/Signature Entertainment"/>
    <s v="PG-13"/>
    <s v="Kid"/>
  </r>
  <r>
    <s v="The Absence of Eden"/>
    <x v="2"/>
    <s v="April"/>
    <x v="2"/>
    <n v="8.8000000000000007"/>
    <s v="Watch"/>
    <s v="Best"/>
    <s v="Best"/>
    <n v="106"/>
    <m/>
    <x v="534"/>
    <x v="534"/>
    <m/>
    <s v="Roadside Attractions/Vertical Entertainment/Ingenious Media"/>
    <s v="PG-13"/>
    <s v="Kid"/>
  </r>
  <r>
    <s v="Sasquatch Sunset"/>
    <x v="2"/>
    <s v="April"/>
    <x v="8"/>
    <n v="6.9"/>
    <s v="Watch"/>
    <s v="Avg"/>
    <s v="Avg"/>
    <n v="129"/>
    <m/>
    <x v="535"/>
    <x v="535"/>
    <s v="Nathan Zellner"/>
    <s v="Bleecker Street/Square Peg"/>
    <s v="R"/>
    <s v="Adult"/>
  </r>
  <r>
    <s v="Woody Woodpecker Goes to Camp"/>
    <x v="2"/>
    <s v="April"/>
    <x v="2"/>
    <n v="7.6"/>
    <s v="Watch"/>
    <s v="Good"/>
    <s v="Good"/>
    <n v="100"/>
    <m/>
    <x v="536"/>
    <x v="536"/>
    <s v="Jon Rosenbaum"/>
    <s v="Netflix/Universal 1440 Entertainment"/>
    <s v="PG-13"/>
    <s v="Kid"/>
  </r>
  <r>
    <s v="The Long Game"/>
    <x v="2"/>
    <s v="April"/>
    <x v="1"/>
    <n v="8"/>
    <s v="Watch"/>
    <s v="Good"/>
    <s v="Good"/>
    <n v="95"/>
    <m/>
    <x v="372"/>
    <x v="372"/>
    <m/>
    <s v="Mucho Mas Releasing /Fifth Season"/>
    <s v="PG-13"/>
    <s v="Kid"/>
  </r>
  <r>
    <s v="Arcadian"/>
    <x v="2"/>
    <s v="April"/>
    <x v="5"/>
    <n v="6.6"/>
    <s v="Watch"/>
    <s v="Avg"/>
    <s v="Avg"/>
    <n v="126"/>
    <m/>
    <x v="537"/>
    <x v="537"/>
    <s v="Ben Brewer"/>
    <s v="RLJE Films/Saturn Films"/>
    <s v="PG-13"/>
    <s v="Kid"/>
  </r>
  <r>
    <s v="Don't Tell Mom the Babysitter's Dead"/>
    <x v="2"/>
    <s v="April"/>
    <x v="2"/>
    <n v="6.2"/>
    <s v="Don't Watch"/>
    <s v="Avg"/>
    <s v="Avg"/>
    <n v="131"/>
    <m/>
    <x v="538"/>
    <x v="538"/>
    <s v="Wade Allain-Marcus"/>
    <s v="Iconic Events Releasing /BET+"/>
    <s v="PG-13"/>
    <s v="Kid"/>
  </r>
  <r>
    <s v="The Ministry of Ungentlemanly Warfare"/>
    <x v="2"/>
    <s v="April"/>
    <x v="2"/>
    <n v="9.1"/>
    <s v="Watch"/>
    <s v="Best"/>
    <s v="Best"/>
    <n v="148"/>
    <m/>
    <x v="539"/>
    <x v="539"/>
    <m/>
    <s v="Lionsgate/Black Bear Pictures/Jerry Bruckheimer Films"/>
    <s v="PG-13"/>
    <s v="Kid"/>
  </r>
  <r>
    <s v="Blood for Dust"/>
    <x v="2"/>
    <s v="April"/>
    <x v="1"/>
    <n v="8.6999999999999993"/>
    <s v="Watch"/>
    <s v="Best"/>
    <s v="Best"/>
    <n v="117"/>
    <m/>
    <x v="121"/>
    <x v="121"/>
    <s v="Rod Blackhurst"/>
    <s v="The Avenue"/>
    <s v="PG-13"/>
    <s v="Kid"/>
  </r>
  <r>
    <s v="Hard Miles"/>
    <x v="2"/>
    <s v="April"/>
    <x v="1"/>
    <n v="6.8"/>
    <s v="Watch"/>
    <s v="Avg"/>
    <s v="Avg"/>
    <n v="110"/>
    <m/>
    <x v="540"/>
    <x v="540"/>
    <m/>
    <s v="Blue Fox Entertainment"/>
    <s v="PG-13"/>
    <s v="Kid"/>
  </r>
  <r>
    <s v="Hanky Panky"/>
    <x v="2"/>
    <s v="April"/>
    <x v="7"/>
    <n v="6.9"/>
    <s v="Watch"/>
    <s v="Avg"/>
    <s v="Avg"/>
    <n v="93"/>
    <m/>
    <x v="541"/>
    <x v="541"/>
    <s v="Nick Roth,Lindsey Haun"/>
    <s v="A Group of Ferrets / Happy Canyon Club"/>
    <s v="R"/>
    <s v="Adult"/>
  </r>
  <r>
    <s v="Boy Kills World"/>
    <x v="2"/>
    <s v="April"/>
    <x v="2"/>
    <n v="7.8"/>
    <s v="Watch"/>
    <s v="Good"/>
    <s v="Good"/>
    <n v="132"/>
    <m/>
    <x v="542"/>
    <x v="542"/>
    <s v="Mortiz Mohr"/>
    <s v="Lionsgate/Roadside Attractions/Vertigo Entertainment"/>
    <s v="PG-13"/>
    <s v="Kid"/>
  </r>
  <r>
    <s v="Breathe"/>
    <x v="2"/>
    <s v="April"/>
    <x v="6"/>
    <n v="7.7"/>
    <s v="Watch"/>
    <s v="Good"/>
    <s v="Good"/>
    <n v="113"/>
    <m/>
    <x v="543"/>
    <x v="543"/>
    <s v="Stefon Bristol"/>
    <s v="Variance Films/Thunder Road Films"/>
    <s v="PG-13"/>
    <s v="Kid"/>
  </r>
  <r>
    <s v="Humane"/>
    <x v="2"/>
    <s v="April"/>
    <x v="1"/>
    <n v="8.3000000000000007"/>
    <s v="Watch"/>
    <s v="Good"/>
    <s v="Best"/>
    <n v="95"/>
    <m/>
    <x v="478"/>
    <x v="478"/>
    <s v="Caitlin Cronenberg"/>
    <s v="IFC Films/Elevation Pictures/XYZ Films"/>
    <s v="PG-13"/>
    <s v="Kid"/>
  </r>
  <r>
    <s v="Cash Out"/>
    <x v="2"/>
    <s v="April"/>
    <x v="11"/>
    <n v="7.2"/>
    <s v="Watch"/>
    <s v="Good"/>
    <s v="Good"/>
    <n v="141"/>
    <m/>
    <x v="544"/>
    <x v="544"/>
    <s v="Ives"/>
    <s v="Saban Films"/>
    <s v="PG-13"/>
    <s v="Kid"/>
  </r>
  <r>
    <s v="Bloodline Killer"/>
    <x v="2"/>
    <s v="April"/>
    <x v="1"/>
    <n v="8.3000000000000007"/>
    <s v="Watch"/>
    <s v="Good"/>
    <s v="Best"/>
    <n v="152"/>
    <m/>
    <x v="282"/>
    <x v="282"/>
    <s v="Ante Novakovic"/>
    <s v="Vertical Entertainment"/>
    <s v="PG-13"/>
    <s v="Kid"/>
  </r>
  <r>
    <s v="Trust in Love"/>
    <x v="2"/>
    <s v="August"/>
    <x v="6"/>
    <n v="8.1"/>
    <s v="Watch"/>
    <s v="Good"/>
    <s v="Best"/>
    <n v="120"/>
    <m/>
    <x v="545"/>
    <x v="545"/>
    <s v="Mick Davis"/>
    <s v="Gravitas Ventures"/>
    <s v="PG-13"/>
    <s v="Kid"/>
  </r>
  <r>
    <s v="It Ends with Us"/>
    <x v="2"/>
    <s v="August"/>
    <x v="6"/>
    <n v="7.4"/>
    <s v="Watch"/>
    <s v="Good"/>
    <s v="Good"/>
    <n v="137"/>
    <m/>
    <x v="546"/>
    <x v="546"/>
    <s v="Justin Baldoni"/>
    <s v="Columbia Pictures/Wayfarer Studios"/>
    <s v="PG-13"/>
    <s v="Kid"/>
  </r>
  <r>
    <s v="Watchmen: Chapter I"/>
    <x v="2"/>
    <s v="August"/>
    <x v="0"/>
    <n v="8.4"/>
    <s v="Watch"/>
    <s v="Good"/>
    <s v="Best"/>
    <n v="93"/>
    <m/>
    <x v="259"/>
    <x v="259"/>
    <s v="Brandon Vietti"/>
    <s v="Warner Bros. Animation/DC Entertainment"/>
    <s v="PG-13"/>
    <s v="Kid"/>
  </r>
  <r>
    <s v="Jackpot!"/>
    <x v="2"/>
    <s v="August"/>
    <x v="6"/>
    <n v="6.1"/>
    <s v="Don't Watch"/>
    <s v="Avg"/>
    <s v="Avg"/>
    <n v="163"/>
    <m/>
    <x v="547"/>
    <x v="547"/>
    <s v="Paul Feig"/>
    <s v="Amazon MGM Studios/Roth/Kirschenbaum Films"/>
    <s v="PG-13"/>
    <s v="Kid"/>
  </r>
  <r>
    <s v="Alien: Romulus"/>
    <x v="2"/>
    <s v="August"/>
    <x v="7"/>
    <n v="8.9"/>
    <s v="Watch"/>
    <s v="Best"/>
    <s v="Best"/>
    <n v="152"/>
    <m/>
    <x v="548"/>
    <x v="548"/>
    <m/>
    <s v="20th Century Studios/Scott Free Productions/Brandywine Productions"/>
    <s v="R"/>
    <s v="Adult"/>
  </r>
  <r>
    <s v="The Clean Up Crew"/>
    <x v="2"/>
    <s v="August"/>
    <x v="4"/>
    <n v="8.5"/>
    <s v="Watch"/>
    <s v="Good"/>
    <s v="Best"/>
    <n v="130"/>
    <m/>
    <x v="549"/>
    <x v="549"/>
    <s v="Jon Keeyes"/>
    <s v="Saban Films"/>
    <s v="PG-13"/>
    <s v="Kid"/>
  </r>
  <r>
    <s v="Stream"/>
    <x v="2"/>
    <s v="August"/>
    <x v="2"/>
    <n v="6.4"/>
    <s v="Don't Watch"/>
    <s v="Avg"/>
    <s v="Avg"/>
    <n v="109"/>
    <m/>
    <x v="550"/>
    <x v="550"/>
    <m/>
    <s v="Iconic Events Releasing/ Fuzz on the Lens Productions"/>
    <s v="PG-13"/>
    <s v="Kid"/>
  </r>
  <r>
    <s v="Blink Twice"/>
    <x v="2"/>
    <s v="August"/>
    <x v="4"/>
    <n v="8.4"/>
    <s v="Watch"/>
    <s v="Good"/>
    <s v="Best"/>
    <n v="150"/>
    <m/>
    <x v="357"/>
    <x v="357"/>
    <m/>
    <s v="Metro-Goldwyn-Mayer/Free Association"/>
    <s v="PG-13"/>
    <s v="Kid"/>
  </r>
  <r>
    <s v="Harold and the Purple Crayon"/>
    <x v="2"/>
    <s v="August"/>
    <x v="1"/>
    <n v="7.4"/>
    <s v="Watch"/>
    <s v="Good"/>
    <s v="Good"/>
    <n v="149"/>
    <m/>
    <x v="551"/>
    <x v="551"/>
    <s v="Carlos Saldanha"/>
    <s v="Columbia Pictures/Davis Entertainment"/>
    <s v="PG-13"/>
    <s v="Kid"/>
  </r>
  <r>
    <s v="The Instigators"/>
    <x v="2"/>
    <s v="August"/>
    <x v="5"/>
    <n v="8.1999999999999993"/>
    <s v="Watch"/>
    <s v="Good"/>
    <s v="Best"/>
    <n v="160"/>
    <m/>
    <x v="552"/>
    <x v="552"/>
    <s v="Doug Liman"/>
    <s v="Apple TV+/Artists Equity/Studio 8"/>
    <s v="PG-13"/>
    <s v="Kid"/>
  </r>
  <r>
    <s v="Saving Bikini Bottom: The Sandy Cheeks Movie"/>
    <x v="2"/>
    <s v="August"/>
    <x v="1"/>
    <n v="7.8"/>
    <s v="Watch"/>
    <s v="Good"/>
    <s v="Good"/>
    <n v="114"/>
    <m/>
    <x v="553"/>
    <x v="553"/>
    <s v="Liza Johnson"/>
    <s v="Netflix/Nickelodeon Movies/United Plankton Pictures"/>
    <s v="PG-13"/>
    <s v="Kid"/>
  </r>
  <r>
    <s v="Detained"/>
    <x v="2"/>
    <s v="August"/>
    <x v="1"/>
    <n v="7.7"/>
    <s v="Watch"/>
    <s v="Good"/>
    <s v="Good"/>
    <n v="137"/>
    <m/>
    <x v="133"/>
    <x v="133"/>
    <m/>
    <s v="Quiver Distribution"/>
    <s v="PG-13"/>
    <s v="Kid"/>
  </r>
  <r>
    <s v="Peak Season"/>
    <x v="2"/>
    <s v="August"/>
    <x v="1"/>
    <n v="8.1999999999999993"/>
    <s v="Watch"/>
    <s v="Good"/>
    <s v="Best"/>
    <n v="148"/>
    <m/>
    <x v="554"/>
    <x v="554"/>
    <s v="Steven Kanter"/>
    <s v="Entertainment Squad"/>
    <s v="PG-13"/>
    <s v="Kid"/>
  </r>
  <r>
    <s v="AMFAD All My Friends Are Dead"/>
    <x v="2"/>
    <s v="August"/>
    <x v="5"/>
    <n v="7.3"/>
    <s v="Watch"/>
    <s v="Good"/>
    <s v="Good"/>
    <n v="109"/>
    <m/>
    <x v="555"/>
    <x v="555"/>
    <s v="Marcus Dunstan"/>
    <s v="Cineverse"/>
    <s v="PG-13"/>
    <s v="Kid"/>
  </r>
  <r>
    <s v="Borderlands"/>
    <x v="2"/>
    <s v="August"/>
    <x v="1"/>
    <n v="8.5"/>
    <s v="Watch"/>
    <s v="Good"/>
    <s v="Best"/>
    <n v="100"/>
    <m/>
    <x v="556"/>
    <x v="556"/>
    <m/>
    <s v="Lionsgate/Summit Entertainment/2K/Gearbox Studios/Arad Productions"/>
    <s v="PG-13"/>
    <s v="Kid"/>
  </r>
  <r>
    <s v="Duchess"/>
    <x v="2"/>
    <s v="August"/>
    <x v="6"/>
    <n v="6.4"/>
    <s v="Don't Watch"/>
    <s v="Avg"/>
    <s v="Avg"/>
    <n v="133"/>
    <m/>
    <x v="557"/>
    <x v="557"/>
    <m/>
    <s v="Saban Films"/>
    <s v="PG-13"/>
    <s v="Kid"/>
  </r>
  <r>
    <s v="The Union"/>
    <x v="2"/>
    <s v="August"/>
    <x v="17"/>
    <n v="8.8000000000000007"/>
    <s v="Watch"/>
    <s v="Best"/>
    <s v="Best"/>
    <n v="106"/>
    <m/>
    <x v="558"/>
    <x v="558"/>
    <s v="Julian Farino"/>
    <s v="Netflix/Municipal Pictures"/>
    <s v="PG-13"/>
    <s v="Kid"/>
  </r>
  <r>
    <s v="The Deliverance"/>
    <x v="2"/>
    <s v="August"/>
    <x v="10"/>
    <n v="6.2"/>
    <s v="Don't Watch"/>
    <s v="Avg"/>
    <s v="Avg"/>
    <n v="107"/>
    <m/>
    <x v="559"/>
    <x v="559"/>
    <s v="Lee Daniels"/>
    <s v="Netflix"/>
    <s v="PG-13"/>
    <s v="Kid"/>
  </r>
  <r>
    <s v="Skincare"/>
    <x v="2"/>
    <s v="August"/>
    <x v="14"/>
    <n v="6.2"/>
    <s v="Don't Watch"/>
    <s v="Avg"/>
    <s v="Avg"/>
    <n v="155"/>
    <m/>
    <x v="560"/>
    <x v="560"/>
    <m/>
    <s v="IFC Films"/>
    <s v="PG-13"/>
    <s v="Kid"/>
  </r>
  <r>
    <s v="Gunner"/>
    <x v="2"/>
    <s v="August"/>
    <x v="2"/>
    <n v="6.7"/>
    <s v="Watch"/>
    <s v="Avg"/>
    <s v="Avg"/>
    <n v="112"/>
    <m/>
    <x v="561"/>
    <x v="561"/>
    <s v="Dimitri Logothetis"/>
    <s v="Highland Film Group"/>
    <s v="PG-13"/>
    <s v="Kid"/>
  </r>
  <r>
    <s v="Crescent City"/>
    <x v="2"/>
    <s v="August"/>
    <x v="2"/>
    <n v="8.1"/>
    <s v="Watch"/>
    <s v="Good"/>
    <s v="Best"/>
    <n v="153"/>
    <m/>
    <x v="562"/>
    <x v="562"/>
    <s v="R.J. Collins"/>
    <s v="Lionsgate/Grindstone Entertainment Group"/>
    <s v="PG-13"/>
    <s v="Kid"/>
  </r>
  <r>
    <s v="Ryan's World the Movie: Titan Universe Adventure"/>
    <x v="2"/>
    <s v="August"/>
    <x v="2"/>
    <n v="8.6"/>
    <s v="Watch"/>
    <s v="Best"/>
    <s v="Best"/>
    <n v="134"/>
    <m/>
    <x v="563"/>
    <x v="563"/>
    <s v="Albie Hecht"/>
    <s v="Falling Forward Films /PocketWatch"/>
    <s v="PG-13"/>
    <s v="Kid"/>
  </r>
  <r>
    <s v="Mountains"/>
    <x v="2"/>
    <s v="August"/>
    <x v="1"/>
    <n v="7.2"/>
    <s v="Watch"/>
    <s v="Good"/>
    <s v="Good"/>
    <n v="147"/>
    <m/>
    <x v="280"/>
    <x v="280"/>
    <m/>
    <s v="Music Box Films"/>
    <s v="PG-13"/>
    <s v="Kid"/>
  </r>
  <r>
    <s v="The Crow"/>
    <x v="2"/>
    <s v="August"/>
    <x v="1"/>
    <n v="7.7"/>
    <s v="Watch"/>
    <s v="Good"/>
    <s v="Good"/>
    <n v="146"/>
    <m/>
    <x v="564"/>
    <x v="564"/>
    <s v="Rupert Sanders"/>
    <s v="Lionsgate/Davis Films/30West/FilmNation Entertainment"/>
    <s v="PG-13"/>
    <s v="Kid"/>
  </r>
  <r>
    <s v="The Killer"/>
    <x v="2"/>
    <s v="August"/>
    <x v="1"/>
    <n v="7.9"/>
    <s v="Watch"/>
    <s v="Good"/>
    <s v="Good"/>
    <n v="121"/>
    <m/>
    <x v="358"/>
    <x v="358"/>
    <s v="John Woo"/>
    <s v="Peacock/Universal Pictures/Atlas Entertainment"/>
    <s v="PG-13"/>
    <s v="Kid"/>
  </r>
  <r>
    <s v="The Supremes at Earl's All-You-Can-Eat"/>
    <x v="2"/>
    <s v="August"/>
    <x v="1"/>
    <n v="8.4"/>
    <s v="Watch"/>
    <s v="Good"/>
    <s v="Best"/>
    <n v="102"/>
    <m/>
    <x v="565"/>
    <x v="565"/>
    <m/>
    <s v="Hulu/Searchlight Pictures/Temple Hill Entertainment"/>
    <s v="PG-13"/>
    <s v="Kid"/>
  </r>
  <r>
    <s v="Greedy People"/>
    <x v="2"/>
    <s v="August"/>
    <x v="5"/>
    <n v="7"/>
    <s v="Watch"/>
    <s v="Avg"/>
    <s v="Good"/>
    <n v="142"/>
    <m/>
    <x v="182"/>
    <x v="182"/>
    <s v="Potsy Ponciroli"/>
    <s v="Lionsgate"/>
    <s v="PG-13"/>
    <s v="Kid"/>
  </r>
  <r>
    <s v="Between the Temples"/>
    <x v="2"/>
    <s v="August"/>
    <x v="2"/>
    <n v="8.5"/>
    <s v="Watch"/>
    <s v="Good"/>
    <s v="Best"/>
    <n v="118"/>
    <m/>
    <x v="566"/>
    <x v="566"/>
    <m/>
    <s v="Sony Pictures Classics/Ley Line Entertainment"/>
    <s v="PG-13"/>
    <s v="Kid"/>
  </r>
  <r>
    <s v="The Forge"/>
    <x v="2"/>
    <s v="August"/>
    <x v="5"/>
    <n v="6.6"/>
    <s v="Watch"/>
    <s v="Avg"/>
    <s v="Avg"/>
    <n v="159"/>
    <m/>
    <x v="567"/>
    <x v="567"/>
    <m/>
    <s v="Affirm Films/Kendrick Brothers/Provident Films"/>
    <s v="PG-13"/>
    <s v="Kid"/>
  </r>
  <r>
    <s v="Place of Bones"/>
    <x v="2"/>
    <s v="August"/>
    <x v="1"/>
    <n v="8.1999999999999993"/>
    <s v="Watch"/>
    <s v="Good"/>
    <s v="Best"/>
    <n v="154"/>
    <m/>
    <x v="568"/>
    <x v="568"/>
    <s v="Audrey Cummings"/>
    <s v="Highland Film Group / Gold Rush Entertainment / Latigo Films"/>
    <s v="PG-13"/>
    <s v="Kid"/>
  </r>
  <r>
    <n v="1992"/>
    <x v="2"/>
    <s v="August"/>
    <x v="3"/>
    <n v="8.6"/>
    <s v="Watch"/>
    <s v="Best"/>
    <s v="Best"/>
    <n v="152"/>
    <m/>
    <x v="569"/>
    <x v="569"/>
    <m/>
    <s v="Lionsgate/Death Row Pictures"/>
    <s v="PG-13"/>
    <s v="Kid"/>
  </r>
  <r>
    <s v="Slingshot"/>
    <x v="2"/>
    <s v="August"/>
    <x v="8"/>
    <n v="6.9"/>
    <s v="Watch"/>
    <s v="Avg"/>
    <s v="Avg"/>
    <n v="144"/>
    <m/>
    <x v="570"/>
    <x v="570"/>
    <s v="Mikael Håfström"/>
    <s v="Bleecker Street"/>
    <s v="R"/>
    <s v="Adult"/>
  </r>
  <r>
    <s v="The Wasp"/>
    <x v="2"/>
    <s v="August"/>
    <x v="17"/>
    <n v="7.7"/>
    <s v="Watch"/>
    <s v="Good"/>
    <s v="Good"/>
    <n v="146"/>
    <m/>
    <x v="564"/>
    <x v="564"/>
    <s v="Guillem Morales"/>
    <s v="Shout! Studios"/>
    <s v="PG-13"/>
    <s v="Kid"/>
  </r>
  <r>
    <s v="Reagan"/>
    <x v="2"/>
    <s v="August"/>
    <x v="2"/>
    <n v="6.7"/>
    <s v="Watch"/>
    <s v="Avg"/>
    <s v="Avg"/>
    <n v="154"/>
    <m/>
    <x v="571"/>
    <x v="571"/>
    <s v="Sean McNamara"/>
    <s v="ShowBiz Direct / MJM Entertainment"/>
    <s v="PG-13"/>
    <s v="Kid"/>
  </r>
  <r>
    <s v="You Gotta Believe"/>
    <x v="2"/>
    <s v="August"/>
    <x v="1"/>
    <n v="7.9"/>
    <s v="Watch"/>
    <s v="Good"/>
    <s v="Good"/>
    <n v="106"/>
    <m/>
    <x v="572"/>
    <x v="572"/>
    <m/>
    <s v="Well Go USA Entertainment"/>
    <s v="PG-13"/>
    <s v="Kid"/>
  </r>
  <r>
    <s v="Tokyo Cowboy"/>
    <x v="2"/>
    <s v="August"/>
    <x v="3"/>
    <n v="7.6"/>
    <s v="Watch"/>
    <s v="Good"/>
    <s v="Good"/>
    <n v="157"/>
    <m/>
    <x v="573"/>
    <x v="573"/>
    <s v="Marc Marriott"/>
    <s v="Purdie Distribution"/>
    <s v="PG-13"/>
    <s v="Kid"/>
  </r>
  <r>
    <s v="Y2K"/>
    <x v="2"/>
    <s v="December"/>
    <x v="12"/>
    <n v="8.6999999999999993"/>
    <s v="Watch"/>
    <s v="Best"/>
    <s v="Best"/>
    <n v="153"/>
    <m/>
    <x v="574"/>
    <x v="574"/>
    <m/>
    <s v="A24"/>
    <s v="PG-13"/>
    <s v="Kid"/>
  </r>
  <r>
    <s v="Kraven the Hunter"/>
    <x v="2"/>
    <s v="December"/>
    <x v="16"/>
    <n v="8.4"/>
    <s v="Watch"/>
    <s v="Good"/>
    <s v="Best"/>
    <n v="144"/>
    <m/>
    <x v="575"/>
    <x v="575"/>
    <s v="J. C. Chandor"/>
    <s v="Columbia Pictures/Marvel Entertainment/Arad Productions"/>
    <s v="PG-13"/>
    <s v="Kid"/>
  </r>
  <r>
    <s v="Sonic the Hedgehog 3"/>
    <x v="2"/>
    <s v="December"/>
    <x v="15"/>
    <n v="6"/>
    <s v="Don't Watch"/>
    <s v="Avg"/>
    <s v="Avg"/>
    <n v="135"/>
    <m/>
    <x v="576"/>
    <x v="576"/>
    <s v="Jeff Fowler"/>
    <s v="Paramount Pictures/Sega Sammy Group/Original Film/Marza Animation Planet/Blur Studio"/>
    <s v="PG-13"/>
    <s v="Kid"/>
  </r>
  <r>
    <s v="The Order"/>
    <x v="2"/>
    <s v="December"/>
    <x v="6"/>
    <n v="7.5"/>
    <s v="Watch"/>
    <s v="Good"/>
    <s v="Good"/>
    <n v="93"/>
    <m/>
    <x v="577"/>
    <x v="577"/>
    <s v="Justin Kurzel"/>
    <s v="Vertical/AGC Studios"/>
    <s v="PG-13"/>
    <s v="Kid"/>
  </r>
  <r>
    <s v="Werewolves"/>
    <x v="2"/>
    <s v="December"/>
    <x v="1"/>
    <n v="9"/>
    <s v="Watch"/>
    <s v="Best"/>
    <s v="Best"/>
    <n v="114"/>
    <m/>
    <x v="212"/>
    <x v="212"/>
    <s v="Steven C. Miller"/>
    <s v="Briarcliff Entertainment"/>
    <s v="PG-13"/>
    <s v="Kid"/>
  </r>
  <r>
    <s v="The Return"/>
    <x v="2"/>
    <s v="December"/>
    <x v="2"/>
    <n v="7.5"/>
    <s v="Watch"/>
    <s v="Good"/>
    <s v="Good"/>
    <n v="150"/>
    <m/>
    <x v="353"/>
    <x v="353"/>
    <m/>
    <s v="Bleecker Street/HanWay Films/Rai Cinema"/>
    <s v="PG-13"/>
    <s v="Kid"/>
  </r>
  <r>
    <s v="Mary"/>
    <x v="2"/>
    <s v="December"/>
    <x v="5"/>
    <n v="8.4"/>
    <s v="Watch"/>
    <s v="Good"/>
    <s v="Best"/>
    <n v="123"/>
    <m/>
    <x v="46"/>
    <x v="46"/>
    <s v="D. J. Caruso"/>
    <s v="Netflix"/>
    <s v="PG-13"/>
    <s v="Kid"/>
  </r>
  <r>
    <s v="Jenni"/>
    <x v="2"/>
    <s v="December"/>
    <x v="5"/>
    <n v="7.6"/>
    <s v="Watch"/>
    <s v="Good"/>
    <s v="Good"/>
    <n v="139"/>
    <m/>
    <x v="578"/>
    <x v="578"/>
    <s v="Gigi Saul Guerrero"/>
    <s v="Vix"/>
    <s v="PG-13"/>
    <s v="Kid"/>
  </r>
  <r>
    <s v="The Lord of the Rings: The War of the Rohirrim"/>
    <x v="2"/>
    <s v="December"/>
    <x v="0"/>
    <n v="6.2"/>
    <s v="Don't Watch"/>
    <s v="Avg"/>
    <s v="Avg"/>
    <n v="164"/>
    <m/>
    <x v="579"/>
    <x v="579"/>
    <s v="Kenji Kamiyama"/>
    <s v="Warner Bros. Pictures/New Line Cinema/Warner Bros. Animation/WingNut Films/Sola Entertainment"/>
    <s v="PG-13"/>
    <s v="Kid"/>
  </r>
  <r>
    <s v="Carry-On"/>
    <x v="2"/>
    <s v="December"/>
    <x v="0"/>
    <n v="9.1999999999999993"/>
    <s v="Watch"/>
    <s v="Best"/>
    <s v="Best"/>
    <n v="161"/>
    <m/>
    <x v="580"/>
    <x v="580"/>
    <s v="Jaume Collet-Serra"/>
    <s v="Netflix/DreamWorks Pictures"/>
    <s v="PG-13"/>
    <s v="Kid"/>
  </r>
  <r>
    <s v="The Day the Earth Blew Up: A Looney Tunes Movie"/>
    <x v="2"/>
    <s v="December"/>
    <x v="0"/>
    <n v="7.9"/>
    <s v="Watch"/>
    <s v="Good"/>
    <s v="Good"/>
    <n v="106"/>
    <m/>
    <x v="581"/>
    <x v="581"/>
    <m/>
    <s v="Ketchup Entertainment/Warner Bros. Animation"/>
    <s v="PG-13"/>
    <s v="Kid"/>
  </r>
  <r>
    <d v="2026-09-05T00:00:00"/>
    <x v="2"/>
    <s v="December"/>
    <x v="5"/>
    <n v="6.8"/>
    <s v="Watch"/>
    <s v="Avg"/>
    <s v="Avg"/>
    <n v="134"/>
    <m/>
    <x v="582"/>
    <x v="582"/>
    <m/>
    <s v="Paramount Pictures/Republic Pictures/Constantin Film"/>
    <s v="PG-13"/>
    <s v="Kid"/>
  </r>
  <r>
    <s v="Nickel Boys"/>
    <x v="2"/>
    <s v="December"/>
    <x v="1"/>
    <n v="9.1"/>
    <s v="Watch"/>
    <s v="Best"/>
    <s v="Best"/>
    <n v="157"/>
    <m/>
    <x v="10"/>
    <x v="10"/>
    <m/>
    <s v="Orion Pictures/Plan B Entertainment/Louverture Films/Anonymous Content"/>
    <s v="PG-13"/>
    <s v="Kid"/>
  </r>
  <r>
    <s v="The Last Showgirl"/>
    <x v="2"/>
    <s v="December"/>
    <x v="2"/>
    <n v="9.1"/>
    <s v="Watch"/>
    <s v="Best"/>
    <s v="Best"/>
    <n v="118"/>
    <m/>
    <x v="583"/>
    <x v="583"/>
    <s v="Gia Coppola"/>
    <s v="Roadside Attractions/Utopia/Pinky Promise"/>
    <s v="PG-13"/>
    <s v="Kid"/>
  </r>
  <r>
    <s v="Dirty Angels"/>
    <x v="2"/>
    <s v="December"/>
    <x v="9"/>
    <n v="7.4"/>
    <s v="Watch"/>
    <s v="Good"/>
    <s v="Good"/>
    <n v="122"/>
    <m/>
    <x v="584"/>
    <x v="584"/>
    <m/>
    <s v="Lionsgate/Millennium Media/Nu Boyana Film Studios"/>
    <s v="R"/>
    <s v="Adult"/>
  </r>
  <r>
    <s v="Mufasa: The Lion King"/>
    <x v="2"/>
    <s v="December"/>
    <x v="0"/>
    <n v="6.6"/>
    <s v="Watch"/>
    <s v="Avg"/>
    <s v="Avg"/>
    <n v="132"/>
    <m/>
    <x v="585"/>
    <x v="585"/>
    <s v="Barry Jenkins"/>
    <s v="Walt Disney Pictures"/>
    <s v="PG-13"/>
    <s v="Kid"/>
  </r>
  <r>
    <s v="The Brutalist"/>
    <x v="2"/>
    <s v="December"/>
    <x v="2"/>
    <n v="9.1999999999999993"/>
    <s v="Watch"/>
    <s v="Best"/>
    <s v="Best"/>
    <n v="164"/>
    <m/>
    <x v="41"/>
    <x v="41"/>
    <m/>
    <s v="A24/Brookstreet Pictures"/>
    <s v="PG-13"/>
    <s v="Kid"/>
  </r>
  <r>
    <s v="Homestead"/>
    <x v="2"/>
    <s v="December"/>
    <x v="2"/>
    <n v="6.9"/>
    <s v="Watch"/>
    <s v="Avg"/>
    <s v="Avg"/>
    <n v="111"/>
    <m/>
    <x v="91"/>
    <x v="91"/>
    <s v="Ben Smallbone"/>
    <s v="Angel Studios"/>
    <s v="PG-13"/>
    <s v="Kid"/>
  </r>
  <r>
    <s v="Better Man"/>
    <x v="2"/>
    <s v="December"/>
    <x v="5"/>
    <n v="7.7"/>
    <s v="Watch"/>
    <s v="Good"/>
    <s v="Good"/>
    <n v="119"/>
    <m/>
    <x v="586"/>
    <x v="586"/>
    <m/>
    <s v="Paramount Pictures"/>
    <s v="PG-13"/>
    <s v="Kid"/>
  </r>
  <r>
    <s v="A Complete Unknown"/>
    <x v="2"/>
    <s v="December"/>
    <x v="2"/>
    <n v="6.1"/>
    <s v="Don't Watch"/>
    <s v="Avg"/>
    <s v="Avg"/>
    <n v="145"/>
    <m/>
    <x v="587"/>
    <x v="587"/>
    <m/>
    <s v="Searchlight Pictures/Veritas Entertainment/The Picture Company"/>
    <s v="PG-13"/>
    <s v="Kid"/>
  </r>
  <r>
    <s v="The Fire Inside"/>
    <x v="2"/>
    <s v="December"/>
    <x v="11"/>
    <n v="6.5"/>
    <s v="Don't Watch"/>
    <s v="Avg"/>
    <s v="Avg"/>
    <n v="161"/>
    <m/>
    <x v="588"/>
    <x v="588"/>
    <s v="Rachel Morrison"/>
    <s v="Metro-Goldwyn-Mayer"/>
    <s v="PG-13"/>
    <s v="Kid"/>
  </r>
  <r>
    <s v="Argylle"/>
    <x v="2"/>
    <s v="February"/>
    <x v="2"/>
    <n v="6.5"/>
    <s v="Don't Watch"/>
    <s v="Avg"/>
    <s v="Avg"/>
    <n v="134"/>
    <m/>
    <x v="589"/>
    <x v="589"/>
    <s v="Matthew Vaughn"/>
    <s v="Universal Pictures/Apple Studios/Marv Studios"/>
    <s v="PG-13"/>
    <s v="Kid"/>
  </r>
  <r>
    <s v="Lisa Frankenstein"/>
    <x v="2"/>
    <s v="February"/>
    <x v="10"/>
    <n v="6.9"/>
    <s v="Watch"/>
    <s v="Avg"/>
    <s v="Avg"/>
    <n v="120"/>
    <m/>
    <x v="590"/>
    <x v="590"/>
    <s v="Zelda Williams"/>
    <s v="Focus Features"/>
    <s v="PG-13"/>
    <s v="Kid"/>
  </r>
  <r>
    <s v="Bob Marley: One Love"/>
    <x v="2"/>
    <s v="February"/>
    <x v="1"/>
    <n v="6.5"/>
    <s v="Don't Watch"/>
    <s v="Avg"/>
    <s v="Avg"/>
    <n v="107"/>
    <m/>
    <x v="591"/>
    <x v="591"/>
    <m/>
    <s v="Paramount Pictures/Plan B Entertainment/Tuff Gong Pictures"/>
    <s v="PG-13"/>
    <s v="Kid"/>
  </r>
  <r>
    <s v="This Is Me... Now: A Love Story"/>
    <x v="2"/>
    <s v="February"/>
    <x v="6"/>
    <n v="8.1999999999999993"/>
    <s v="Watch"/>
    <s v="Good"/>
    <s v="Best"/>
    <n v="100"/>
    <m/>
    <x v="592"/>
    <x v="592"/>
    <s v="Dave Meyers"/>
    <s v="Amazon MGM Studios/Nuyorican Productions"/>
    <s v="PG-13"/>
    <s v="Kid"/>
  </r>
  <r>
    <s v="Drive-Away Dolls"/>
    <x v="2"/>
    <s v="February"/>
    <x v="8"/>
    <n v="8.1"/>
    <s v="Watch"/>
    <s v="Good"/>
    <s v="Best"/>
    <n v="159"/>
    <m/>
    <x v="593"/>
    <x v="593"/>
    <m/>
    <s v="Focus Features/Working Title Films"/>
    <s v="R"/>
    <s v="Adult"/>
  </r>
  <r>
    <s v="The Neon Highway"/>
    <x v="2"/>
    <s v="February"/>
    <x v="1"/>
    <n v="6"/>
    <s v="Don't Watch"/>
    <s v="Avg"/>
    <s v="Avg"/>
    <n v="138"/>
    <m/>
    <x v="594"/>
    <x v="594"/>
    <m/>
    <s v="Sessions Production Payroll / Mountain Movies"/>
    <s v="PG-13"/>
    <s v="Kid"/>
  </r>
  <r>
    <s v="Orion and the Dark"/>
    <x v="2"/>
    <s v="February"/>
    <x v="0"/>
    <n v="8.3000000000000007"/>
    <s v="Watch"/>
    <s v="Good"/>
    <s v="Best"/>
    <n v="143"/>
    <m/>
    <x v="186"/>
    <x v="186"/>
    <s v="Sean Charmatz"/>
    <s v="Netflix/DreamWorks Animation"/>
    <s v="PG-13"/>
    <s v="Kid"/>
  </r>
  <r>
    <s v="The Tiger's Apprentice"/>
    <x v="2"/>
    <s v="February"/>
    <x v="0"/>
    <n v="7.4"/>
    <s v="Watch"/>
    <s v="Good"/>
    <s v="Good"/>
    <n v="113"/>
    <m/>
    <x v="595"/>
    <x v="595"/>
    <s v="Raman Hui, Paul Watling,Yong Duk Jhun"/>
    <s v="Paramount+/Paramount Animation/New Republic Pictures"/>
    <s v="PG-13"/>
    <s v="Kid"/>
  </r>
  <r>
    <s v="A Nashville Wish"/>
    <x v="2"/>
    <s v="February"/>
    <x v="1"/>
    <n v="6"/>
    <s v="Don't Watch"/>
    <s v="Avg"/>
    <s v="Avg"/>
    <n v="138"/>
    <m/>
    <x v="594"/>
    <x v="594"/>
    <s v="Demetrius Navarro"/>
    <s v="Vision Films / Brentwood Avenue Entertainment / D Street Films"/>
    <s v="PG-13"/>
    <s v="Kid"/>
  </r>
  <r>
    <s v="Upgraded"/>
    <x v="2"/>
    <s v="February"/>
    <x v="1"/>
    <n v="9.1"/>
    <s v="Watch"/>
    <s v="Best"/>
    <s v="Best"/>
    <n v="151"/>
    <m/>
    <x v="596"/>
    <x v="596"/>
    <s v="Carlson Young"/>
    <s v="Amazon MGM Studios"/>
    <s v="PG-13"/>
    <s v="Kid"/>
  </r>
  <r>
    <s v="Air Force One Down"/>
    <x v="2"/>
    <s v="February"/>
    <x v="1"/>
    <n v="6"/>
    <s v="Don't Watch"/>
    <s v="Avg"/>
    <s v="Avg"/>
    <n v="162"/>
    <m/>
    <x v="597"/>
    <x v="597"/>
    <s v="James Bamford"/>
    <s v="Republic Pictures"/>
    <s v="PG-13"/>
    <s v="Kid"/>
  </r>
  <r>
    <s v="Lola"/>
    <x v="2"/>
    <s v="February"/>
    <x v="1"/>
    <n v="6.7"/>
    <s v="Watch"/>
    <s v="Avg"/>
    <s v="Avg"/>
    <n v="106"/>
    <m/>
    <x v="598"/>
    <x v="598"/>
    <s v="Nicola Peltz,Bria Vinaite"/>
    <s v="Vertical Entertainment"/>
    <s v="PG-13"/>
    <s v="Kid"/>
  </r>
  <r>
    <s v="Madame Web"/>
    <x v="2"/>
    <s v="February"/>
    <x v="16"/>
    <n v="7.9"/>
    <s v="Watch"/>
    <s v="Good"/>
    <s v="Good"/>
    <n v="163"/>
    <m/>
    <x v="599"/>
    <x v="599"/>
    <m/>
    <s v="Columbia Pictures/Marvel Entertainment/Di Bonaventura Pictures"/>
    <s v="PG-13"/>
    <s v="Kid"/>
  </r>
  <r>
    <s v="Players"/>
    <x v="2"/>
    <s v="February"/>
    <x v="4"/>
    <n v="8.1"/>
    <s v="Watch"/>
    <s v="Good"/>
    <s v="Best"/>
    <n v="150"/>
    <m/>
    <x v="600"/>
    <x v="600"/>
    <s v="Trish Sie"/>
    <s v="Netflix"/>
    <s v="PG-13"/>
    <s v="Kid"/>
  </r>
  <r>
    <s v="What About Love"/>
    <x v="2"/>
    <s v="February"/>
    <x v="2"/>
    <n v="6.6"/>
    <s v="Watch"/>
    <s v="Avg"/>
    <s v="Avg"/>
    <n v="120"/>
    <m/>
    <x v="601"/>
    <x v="601"/>
    <m/>
    <s v="XWS / Quality Films / Accident Films"/>
    <s v="PG-13"/>
    <s v="Kid"/>
  </r>
  <r>
    <s v="Adam the First"/>
    <x v="2"/>
    <s v="February"/>
    <x v="1"/>
    <n v="6"/>
    <s v="Don't Watch"/>
    <s v="Avg"/>
    <s v="Avg"/>
    <n v="90"/>
    <m/>
    <x v="385"/>
    <x v="385"/>
    <s v="Irving Franco"/>
    <s v="Electric Entertainment"/>
    <s v="PG-13"/>
    <s v="Kid"/>
  </r>
  <r>
    <s v="Stranger in the Woods"/>
    <x v="2"/>
    <s v="February"/>
    <x v="12"/>
    <n v="8.5"/>
    <s v="Watch"/>
    <s v="Good"/>
    <s v="Best"/>
    <n v="133"/>
    <m/>
    <x v="602"/>
    <x v="602"/>
    <s v="Adam Newacheck"/>
    <s v="Red Hound Films / Wonk"/>
    <s v="PG-13"/>
    <s v="Kid"/>
  </r>
  <r>
    <s v="Land of Bad"/>
    <x v="2"/>
    <s v="February"/>
    <x v="14"/>
    <n v="7"/>
    <s v="Watch"/>
    <s v="Avg"/>
    <s v="Good"/>
    <n v="112"/>
    <m/>
    <x v="603"/>
    <x v="603"/>
    <m/>
    <s v="The Avenue / Highland Film Group"/>
    <s v="PG-13"/>
    <s v="Kid"/>
  </r>
  <r>
    <s v="Bleeding Love"/>
    <x v="2"/>
    <s v="February"/>
    <x v="1"/>
    <n v="8.1999999999999993"/>
    <s v="Watch"/>
    <s v="Good"/>
    <s v="Best"/>
    <n v="121"/>
    <m/>
    <x v="604"/>
    <x v="604"/>
    <s v="Emma Westenberg"/>
    <s v="Vertical Entertainment/Killer Films"/>
    <s v="PG-13"/>
    <s v="Kid"/>
  </r>
  <r>
    <s v="Lights Out"/>
    <x v="2"/>
    <s v="February"/>
    <x v="1"/>
    <n v="7.7"/>
    <s v="Watch"/>
    <s v="Good"/>
    <s v="Good"/>
    <n v="152"/>
    <m/>
    <x v="480"/>
    <x v="480"/>
    <s v="Christian Sesma"/>
    <s v="Quiver Distribution/ Firebrand"/>
    <s v="PG-13"/>
    <s v="Kid"/>
  </r>
  <r>
    <s v="No Way Up"/>
    <x v="2"/>
    <s v="February"/>
    <x v="1"/>
    <n v="6.7"/>
    <s v="Watch"/>
    <s v="Avg"/>
    <s v="Avg"/>
    <n v="94"/>
    <m/>
    <x v="410"/>
    <x v="410"/>
    <s v="Claudio Fäh"/>
    <s v="RLJE Films/Altitude Film Entertainment"/>
    <s v="PG-13"/>
    <s v="Kid"/>
  </r>
  <r>
    <s v="Altered Reality"/>
    <x v="2"/>
    <s v="February"/>
    <x v="2"/>
    <n v="8.6"/>
    <s v="Watch"/>
    <s v="Best"/>
    <s v="Best"/>
    <n v="131"/>
    <m/>
    <x v="605"/>
    <x v="605"/>
    <s v="Don E. FauntLeRoy"/>
    <s v="K Street Pictures"/>
    <s v="PG-13"/>
    <s v="Kid"/>
  </r>
  <r>
    <s v="Ordinary Angels"/>
    <x v="2"/>
    <s v="February"/>
    <x v="2"/>
    <n v="6"/>
    <s v="Don't Watch"/>
    <s v="Avg"/>
    <s v="Avg"/>
    <n v="138"/>
    <m/>
    <x v="594"/>
    <x v="594"/>
    <s v="Jon Gunn"/>
    <s v="Lionsgate/Kingdom Story Company/Vertigo Entertainment/Stampede Ventures"/>
    <s v="PG-13"/>
    <s v="Kid"/>
  </r>
  <r>
    <s v="Drugstore June"/>
    <x v="2"/>
    <s v="February"/>
    <x v="10"/>
    <n v="7.8"/>
    <s v="Watch"/>
    <s v="Good"/>
    <s v="Good"/>
    <n v="132"/>
    <m/>
    <x v="542"/>
    <x v="542"/>
    <m/>
    <s v="Shout! Studios/All Things Comedy/Utopia"/>
    <s v="PG-13"/>
    <s v="Kid"/>
  </r>
  <r>
    <s v="Parallel"/>
    <x v="2"/>
    <s v="February"/>
    <x v="1"/>
    <n v="9.1999999999999993"/>
    <s v="Watch"/>
    <s v="Best"/>
    <s v="Best"/>
    <n v="152"/>
    <m/>
    <x v="74"/>
    <x v="74"/>
    <s v="Kourosh Ahari"/>
    <s v="Vertical Entertainment"/>
    <s v="PG-13"/>
    <s v="Kid"/>
  </r>
  <r>
    <s v="Red Right Hand"/>
    <x v="2"/>
    <s v="February"/>
    <x v="1"/>
    <n v="8.6"/>
    <s v="Watch"/>
    <s v="Best"/>
    <s v="Best"/>
    <n v="125"/>
    <m/>
    <x v="606"/>
    <x v="606"/>
    <s v="Ian Nelms, Eshom Nelms"/>
    <s v="Redbox Entertainment/Magnolia Pictures"/>
    <s v="PG-13"/>
    <s v="Kid"/>
  </r>
  <r>
    <s v="The Mummy Murders"/>
    <x v="2"/>
    <s v="January"/>
    <x v="7"/>
    <n v="7.8"/>
    <s v="Watch"/>
    <s v="Good"/>
    <s v="Good"/>
    <n v="138"/>
    <m/>
    <x v="607"/>
    <x v="607"/>
    <m/>
    <s v="Gravitas Ventures"/>
    <s v="R"/>
    <s v="Adult"/>
  </r>
  <r>
    <s v="DarkGame"/>
    <x v="2"/>
    <s v="January"/>
    <x v="7"/>
    <n v="7.6"/>
    <s v="Watch"/>
    <s v="Good"/>
    <s v="Good"/>
    <n v="103"/>
    <m/>
    <x v="608"/>
    <x v="608"/>
    <s v="Howard J. Ford"/>
    <s v="Gravitas Ventures"/>
    <s v="R"/>
    <s v="Adult"/>
  </r>
  <r>
    <s v="We Strangers"/>
    <x v="2"/>
    <s v="January"/>
    <x v="3"/>
    <n v="8.9"/>
    <s v="Watch"/>
    <s v="Best"/>
    <s v="Best"/>
    <n v="137"/>
    <m/>
    <x v="24"/>
    <x v="24"/>
    <s v="Anu Valia"/>
    <s v="Pigasus Pictures, Wingate Media, Mirmade, Killjoy Films"/>
    <s v="PG-13"/>
    <s v="Kid"/>
  </r>
  <r>
    <s v="The Beekeeper"/>
    <x v="2"/>
    <s v="January"/>
    <x v="2"/>
    <n v="7.5"/>
    <s v="Watch"/>
    <s v="Good"/>
    <s v="Good"/>
    <n v="114"/>
    <m/>
    <x v="609"/>
    <x v="609"/>
    <s v="David Ayer"/>
    <s v="Metro-Goldwyn-Mayer/Miramax"/>
    <s v="PG-13"/>
    <s v="Kid"/>
  </r>
  <r>
    <s v="Wanted Man"/>
    <x v="2"/>
    <s v="January"/>
    <x v="5"/>
    <n v="7.4"/>
    <s v="Watch"/>
    <s v="Good"/>
    <s v="Good"/>
    <n v="116"/>
    <m/>
    <x v="81"/>
    <x v="81"/>
    <m/>
    <s v="Quiver Distribution/Millennium Media"/>
    <s v="PG-13"/>
    <s v="Kid"/>
  </r>
  <r>
    <s v="I.S.S."/>
    <x v="2"/>
    <s v="January"/>
    <x v="1"/>
    <n v="8.5"/>
    <s v="Watch"/>
    <s v="Good"/>
    <s v="Best"/>
    <n v="91"/>
    <m/>
    <x v="610"/>
    <x v="610"/>
    <s v="Gabriela Cowperthwaite"/>
    <s v="Bleecker Street/LD Entertainment"/>
    <s v="PG-13"/>
    <s v="Kid"/>
  </r>
  <r>
    <s v="Murder and Cocktails"/>
    <x v="2"/>
    <s v="January"/>
    <x v="1"/>
    <n v="7.6"/>
    <s v="Watch"/>
    <s v="Good"/>
    <s v="Good"/>
    <n v="133"/>
    <m/>
    <x v="611"/>
    <x v="611"/>
    <s v="Henry Barrial"/>
    <s v="905 Productions / Vision Films"/>
    <s v="PG-13"/>
    <s v="Kid"/>
  </r>
  <r>
    <s v="Beautiful Wedding"/>
    <x v="2"/>
    <s v="January"/>
    <x v="1"/>
    <n v="8.8000000000000007"/>
    <s v="Watch"/>
    <s v="Best"/>
    <s v="Best"/>
    <n v="106"/>
    <m/>
    <x v="534"/>
    <x v="534"/>
    <m/>
    <s v="Voltage Pictures/Wattpad Studios"/>
    <s v="PG-13"/>
    <s v="Kid"/>
  </r>
  <r>
    <s v="He Went That Way"/>
    <x v="2"/>
    <s v="January"/>
    <x v="1"/>
    <n v="7.4"/>
    <s v="Watch"/>
    <s v="Good"/>
    <s v="Good"/>
    <n v="128"/>
    <m/>
    <x v="612"/>
    <x v="612"/>
    <s v="Jeffrey Darling"/>
    <s v="Vertical Entertainment/Mister Smith Entertainment"/>
    <s v="PG-13"/>
    <s v="Kid"/>
  </r>
  <r>
    <s v="The Painter"/>
    <x v="2"/>
    <s v="January"/>
    <x v="1"/>
    <n v="9.1999999999999993"/>
    <s v="Watch"/>
    <s v="Best"/>
    <s v="Best"/>
    <n v="158"/>
    <m/>
    <x v="514"/>
    <x v="514"/>
    <s v="Kimani Ray Smith"/>
    <s v="Republic Pictures"/>
    <s v="PG-13"/>
    <s v="Kid"/>
  </r>
  <r>
    <s v="The Bricklayer"/>
    <x v="2"/>
    <s v="January"/>
    <x v="1"/>
    <n v="7.1"/>
    <s v="Watch"/>
    <s v="Good"/>
    <s v="Good"/>
    <n v="92"/>
    <m/>
    <x v="613"/>
    <x v="613"/>
    <s v="Renny Harlin"/>
    <s v="Vertical Entertainment/Millennium Media"/>
    <s v="PG-13"/>
    <s v="Kid"/>
  </r>
  <r>
    <s v="Some Other Woman"/>
    <x v="2"/>
    <s v="January"/>
    <x v="4"/>
    <n v="8.1999999999999993"/>
    <s v="Watch"/>
    <s v="Good"/>
    <s v="Best"/>
    <n v="160"/>
    <m/>
    <x v="552"/>
    <x v="552"/>
    <s v="Joel David Moore"/>
    <s v="Radiant Films International / Balcony 9 Productions"/>
    <s v="PG-13"/>
    <s v="Kid"/>
  </r>
  <r>
    <s v="Mean Girls"/>
    <x v="2"/>
    <s v="January"/>
    <x v="13"/>
    <n v="7.7"/>
    <s v="Watch"/>
    <s v="Good"/>
    <s v="Good"/>
    <n v="119"/>
    <m/>
    <x v="586"/>
    <x v="586"/>
    <s v="Arturo Perez Jr., Samantha Jayne"/>
    <s v="Paramount Pictures/Broadway Video/Little Stranger"/>
    <s v="PG-13"/>
    <s v="Kid"/>
  </r>
  <r>
    <s v="Lift"/>
    <x v="2"/>
    <s v="January"/>
    <x v="6"/>
    <n v="7.4"/>
    <s v="Watch"/>
    <s v="Good"/>
    <s v="Good"/>
    <n v="113"/>
    <m/>
    <x v="157"/>
    <x v="157"/>
    <s v="F. Gary Gray"/>
    <s v="Netflix/Genre Films/6th &amp; Idaho Productions"/>
    <s v="PG-13"/>
    <s v="Kid"/>
  </r>
  <r>
    <s v="Role Play"/>
    <x v="2"/>
    <s v="January"/>
    <x v="5"/>
    <n v="8.6"/>
    <s v="Watch"/>
    <s v="Best"/>
    <s v="Best"/>
    <n v="104"/>
    <m/>
    <x v="614"/>
    <x v="614"/>
    <s v="Thomas Vincent"/>
    <s v="Amazon MGM Studios/The Picture Company/StudioCanal"/>
    <s v="PG-13"/>
    <s v="Kid"/>
  </r>
  <r>
    <s v="The Night They Came Home"/>
    <x v="2"/>
    <s v="January"/>
    <x v="1"/>
    <n v="9.1999999999999993"/>
    <s v="Watch"/>
    <s v="Best"/>
    <s v="Best"/>
    <n v="164"/>
    <m/>
    <x v="615"/>
    <x v="615"/>
    <s v="Paul G. Volk"/>
    <s v="Lionsgate Home Entertainment"/>
    <s v="PG-13"/>
    <s v="Kid"/>
  </r>
  <r>
    <s v="Destroy All Neighbors"/>
    <x v="2"/>
    <s v="January"/>
    <x v="7"/>
    <n v="7.8"/>
    <s v="Watch"/>
    <s v="Good"/>
    <s v="Good"/>
    <n v="159"/>
    <m/>
    <x v="616"/>
    <x v="616"/>
    <s v="Josh Forbes"/>
    <s v="RLJE Films/Shudder"/>
    <s v="R"/>
    <s v="Adult"/>
  </r>
  <r>
    <s v="Hellhound"/>
    <x v="2"/>
    <s v="January"/>
    <x v="10"/>
    <n v="7.8"/>
    <s v="Watch"/>
    <s v="Good"/>
    <s v="Good"/>
    <n v="120"/>
    <m/>
    <x v="207"/>
    <x v="207"/>
    <s v="Joshua Dixon"/>
    <s v="Saban Films/ Mbrella Films"/>
    <s v="PG-13"/>
    <s v="Kid"/>
  </r>
  <r>
    <s v="Sunrise"/>
    <x v="2"/>
    <s v="January"/>
    <x v="1"/>
    <n v="9"/>
    <s v="Watch"/>
    <s v="Best"/>
    <s v="Best"/>
    <n v="159"/>
    <m/>
    <x v="23"/>
    <x v="23"/>
    <s v="Andrew Baird"/>
    <s v="Lionsgate/Grindstone Entertainment Group"/>
    <s v="PG-13"/>
    <s v="Kid"/>
  </r>
  <r>
    <s v="Which Brings Me to You"/>
    <x v="2"/>
    <s v="January"/>
    <x v="17"/>
    <n v="8.6"/>
    <s v="Watch"/>
    <s v="Best"/>
    <s v="Best"/>
    <n v="101"/>
    <m/>
    <x v="617"/>
    <x v="617"/>
    <s v="Peter Hutchings"/>
    <s v="Decal/Anonymous Content"/>
    <s v="PG-13"/>
    <s v="Kid"/>
  </r>
  <r>
    <s v="Cult Killer"/>
    <x v="2"/>
    <s v="January"/>
    <x v="14"/>
    <n v="6.6"/>
    <s v="Watch"/>
    <s v="Avg"/>
    <s v="Avg"/>
    <n v="90"/>
    <m/>
    <x v="618"/>
    <x v="618"/>
    <s v="Jon Keeyes"/>
    <s v="Saban Films"/>
    <s v="PG-13"/>
    <s v="Kid"/>
  </r>
  <r>
    <s v="Founders Day"/>
    <x v="2"/>
    <s v="January"/>
    <x v="1"/>
    <n v="7.2"/>
    <s v="Watch"/>
    <s v="Good"/>
    <s v="Good"/>
    <n v="120"/>
    <m/>
    <x v="619"/>
    <x v="619"/>
    <m/>
    <s v="Dark Sky Films / Blue Finch Films / Mainframe Pictures"/>
    <s v="PG-13"/>
    <s v="Kid"/>
  </r>
  <r>
    <s v="The Underdoggs"/>
    <x v="2"/>
    <s v="January"/>
    <x v="3"/>
    <n v="8.1"/>
    <s v="Watch"/>
    <s v="Good"/>
    <s v="Best"/>
    <n v="102"/>
    <m/>
    <x v="620"/>
    <x v="620"/>
    <s v="Charles Stone"/>
    <s v="Amazon MGM Studios/Metro-Goldwyn-Mayer/Khalabo Ink Society"/>
    <s v="PG-13"/>
    <s v="Kid"/>
  </r>
  <r>
    <s v="Sometimes I Think About Dying"/>
    <x v="2"/>
    <s v="January"/>
    <x v="1"/>
    <n v="7.3"/>
    <s v="Watch"/>
    <s v="Good"/>
    <s v="Good"/>
    <n v="139"/>
    <m/>
    <x v="621"/>
    <x v="621"/>
    <s v="Rachel Lambert"/>
    <s v="Oscilloscope Laboratories"/>
    <s v="PG-13"/>
    <s v="Kid"/>
  </r>
  <r>
    <s v="American Star"/>
    <x v="2"/>
    <s v="January"/>
    <x v="1"/>
    <n v="9.1999999999999993"/>
    <s v="Watch"/>
    <s v="Best"/>
    <s v="Best"/>
    <n v="131"/>
    <m/>
    <x v="622"/>
    <x v="622"/>
    <s v="Gonzalo López-Gallego"/>
    <s v="IFC Films"/>
    <s v="PG-13"/>
    <s v="Kid"/>
  </r>
  <r>
    <s v="Hundreds of Beavers"/>
    <x v="2"/>
    <s v="January"/>
    <x v="9"/>
    <n v="7.4"/>
    <s v="Watch"/>
    <s v="Good"/>
    <s v="Good"/>
    <n v="107"/>
    <m/>
    <x v="623"/>
    <x v="623"/>
    <s v="Mike Cheslik"/>
    <s v="SRH"/>
    <s v="R"/>
    <s v="Adult"/>
  </r>
  <r>
    <s v="Despicable Me 4"/>
    <x v="2"/>
    <s v="July"/>
    <x v="15"/>
    <n v="8.1999999999999993"/>
    <s v="Watch"/>
    <s v="Good"/>
    <s v="Best"/>
    <n v="112"/>
    <m/>
    <x v="624"/>
    <x v="624"/>
    <s v="Chris Renaud"/>
    <s v="Universal Pictures/Illumination"/>
    <s v="PG"/>
    <s v="Kid"/>
  </r>
  <r>
    <s v="Sound of Hope: The Story of Possum Trot"/>
    <x v="2"/>
    <s v="July"/>
    <x v="1"/>
    <n v="7.1"/>
    <s v="Watch"/>
    <s v="Good"/>
    <s v="Good"/>
    <n v="95"/>
    <m/>
    <x v="625"/>
    <x v="625"/>
    <m/>
    <s v="Angel Studios/DailyWire+"/>
    <s v="PG-13"/>
    <s v="Kid"/>
  </r>
  <r>
    <s v="Fly Me to the Moon"/>
    <x v="2"/>
    <s v="July"/>
    <x v="17"/>
    <n v="8.1999999999999993"/>
    <s v="Watch"/>
    <s v="Good"/>
    <s v="Best"/>
    <n v="151"/>
    <m/>
    <x v="626"/>
    <x v="626"/>
    <s v="Greg Berlanti"/>
    <s v="Columbia Pictures/Apple Studios"/>
    <s v="PG-13"/>
    <s v="Kid"/>
  </r>
  <r>
    <s v="Lost on a Mountain in Maine"/>
    <x v="2"/>
    <s v="July"/>
    <x v="1"/>
    <n v="7.3"/>
    <s v="Watch"/>
    <s v="Good"/>
    <s v="Good"/>
    <n v="133"/>
    <m/>
    <x v="627"/>
    <x v="627"/>
    <s v="Andrew Boodhoo Kightlinger"/>
    <s v="Balboa Productions/ Mom &amp; Dad Production"/>
    <s v="PG-13"/>
    <s v="Kid"/>
  </r>
  <r>
    <s v="My Spy: The Eternal City"/>
    <x v="2"/>
    <s v="July"/>
    <x v="1"/>
    <n v="7.2"/>
    <s v="Watch"/>
    <s v="Good"/>
    <s v="Good"/>
    <n v="102"/>
    <m/>
    <x v="628"/>
    <x v="628"/>
    <m/>
    <s v="Amazon MGM Studios/STXfilms/MWM Studios"/>
    <s v="PG-13"/>
    <s v="Kid"/>
  </r>
  <r>
    <s v="Twisters"/>
    <x v="2"/>
    <s v="July"/>
    <x v="2"/>
    <n v="8.1999999999999993"/>
    <s v="Watch"/>
    <s v="Good"/>
    <s v="Best"/>
    <n v="133"/>
    <m/>
    <x v="629"/>
    <x v="629"/>
    <s v="Lee Isaac Chung"/>
    <s v="Universal Pictures/Warner Bros. Pictures/Amblin Entertainment"/>
    <s v="PG-13"/>
    <s v="Kid"/>
  </r>
  <r>
    <s v="The Good Half"/>
    <x v="2"/>
    <s v="July"/>
    <x v="2"/>
    <n v="7.4"/>
    <s v="Watch"/>
    <s v="Good"/>
    <s v="Good"/>
    <n v="164"/>
    <m/>
    <x v="630"/>
    <x v="630"/>
    <s v="Robert Schwartzman"/>
    <s v="Utopia"/>
    <s v="PG-13"/>
    <s v="Kid"/>
  </r>
  <r>
    <s v="Deadpool &amp; Wolverine"/>
    <x v="2"/>
    <s v="July"/>
    <x v="16"/>
    <n v="8.8000000000000007"/>
    <s v="Watch"/>
    <s v="Best"/>
    <s v="Best"/>
    <n v="154"/>
    <m/>
    <x v="631"/>
    <x v="631"/>
    <m/>
    <s v="Marvel Studios/Maximum Effort/21 Laps Entertainment"/>
    <s v="PG-13"/>
    <s v="Kid"/>
  </r>
  <r>
    <s v="Beverly Hills Cop: Axel F"/>
    <x v="2"/>
    <s v="July"/>
    <x v="1"/>
    <n v="7"/>
    <s v="Watch"/>
    <s v="Avg"/>
    <s v="Good"/>
    <n v="91"/>
    <m/>
    <x v="632"/>
    <x v="632"/>
    <s v="Mark Molloy"/>
    <s v="Netflix/Don Simpson/Jerry Bruckheimer Films"/>
    <s v="PG-13"/>
    <s v="Kid"/>
  </r>
  <r>
    <s v="The Secret Art of Human Flight"/>
    <x v="2"/>
    <s v="July"/>
    <x v="1"/>
    <n v="8"/>
    <s v="Watch"/>
    <s v="Good"/>
    <s v="Good"/>
    <n v="146"/>
    <m/>
    <x v="633"/>
    <x v="633"/>
    <s v="H.P. Mendoza"/>
    <s v="Level 33 Entertainment"/>
    <s v="PG-13"/>
    <s v="Kid"/>
  </r>
  <r>
    <s v="Murder Company"/>
    <x v="2"/>
    <s v="July"/>
    <x v="1"/>
    <n v="6.7"/>
    <s v="Watch"/>
    <s v="Avg"/>
    <s v="Avg"/>
    <n v="121"/>
    <m/>
    <x v="168"/>
    <x v="168"/>
    <s v="Shane Dax Taylor"/>
    <s v="Maverick Entertainment Group/ Complex Corp"/>
    <s v="PG-13"/>
    <s v="Kid"/>
  </r>
  <r>
    <s v="The Real Bros of Simi Valley: High School Reunion"/>
    <x v="2"/>
    <s v="July"/>
    <x v="6"/>
    <n v="8.4"/>
    <s v="Watch"/>
    <s v="Good"/>
    <s v="Best"/>
    <n v="108"/>
    <m/>
    <x v="634"/>
    <x v="634"/>
    <m/>
    <s v="Roku"/>
    <s v="PG-13"/>
    <s v="Kid"/>
  </r>
  <r>
    <s v="Dead Whisper"/>
    <x v="2"/>
    <s v="July"/>
    <x v="4"/>
    <n v="8.5"/>
    <s v="Watch"/>
    <s v="Good"/>
    <s v="Best"/>
    <n v="100"/>
    <m/>
    <x v="556"/>
    <x v="556"/>
    <m/>
    <s v="Vertical"/>
    <s v="PG-13"/>
    <s v="Kid"/>
  </r>
  <r>
    <s v="Angels Fallen: Warriors of Peace"/>
    <x v="2"/>
    <s v="July"/>
    <x v="2"/>
    <n v="6.4"/>
    <s v="Don't Watch"/>
    <s v="Avg"/>
    <s v="Avg"/>
    <n v="94"/>
    <m/>
    <x v="635"/>
    <x v="635"/>
    <s v="Ali Zamani"/>
    <s v="Uncork'd Entertainment"/>
    <s v="PG-13"/>
    <s v="Kid"/>
  </r>
  <r>
    <s v="Sing Sing"/>
    <x v="2"/>
    <s v="July"/>
    <x v="13"/>
    <n v="8"/>
    <s v="Watch"/>
    <s v="Good"/>
    <s v="Good"/>
    <n v="98"/>
    <m/>
    <x v="493"/>
    <x v="493"/>
    <m/>
    <s v="A24/Black Bear Pictures"/>
    <s v="PG-13"/>
    <s v="Kid"/>
  </r>
  <r>
    <s v="Touch"/>
    <x v="2"/>
    <s v="July"/>
    <x v="8"/>
    <n v="9.1"/>
    <s v="Watch"/>
    <s v="Best"/>
    <s v="Best"/>
    <n v="154"/>
    <m/>
    <x v="636"/>
    <x v="636"/>
    <m/>
    <s v="Focus Features/RVK Studios"/>
    <s v="R"/>
    <s v="Adult"/>
  </r>
  <r>
    <s v="The Inheritance"/>
    <x v="2"/>
    <s v="July"/>
    <x v="2"/>
    <n v="7"/>
    <s v="Watch"/>
    <s v="Avg"/>
    <s v="Good"/>
    <n v="115"/>
    <m/>
    <x v="336"/>
    <x v="336"/>
    <s v="Alejandro Brugués"/>
    <s v="Vertical"/>
    <s v="PG-13"/>
    <s v="Kid"/>
  </r>
  <r>
    <s v="National Anthem"/>
    <x v="2"/>
    <s v="July"/>
    <x v="6"/>
    <n v="7.8"/>
    <s v="Watch"/>
    <s v="Good"/>
    <s v="Good"/>
    <n v="123"/>
    <m/>
    <x v="637"/>
    <x v="637"/>
    <m/>
    <s v="Variance Films"/>
    <s v="PG-13"/>
    <s v="Kid"/>
  </r>
  <r>
    <s v="Because We're Family"/>
    <x v="2"/>
    <s v="July"/>
    <x v="1"/>
    <n v="6.8"/>
    <s v="Watch"/>
    <s v="Avg"/>
    <s v="Avg"/>
    <n v="101"/>
    <m/>
    <x v="638"/>
    <x v="638"/>
    <s v="Christine Nyhart Kaplan"/>
    <s v="Buffalo 8 Entertainment"/>
    <s v="PG-13"/>
    <s v="Kid"/>
  </r>
  <r>
    <s v="Clear Cut"/>
    <x v="2"/>
    <s v="July"/>
    <x v="1"/>
    <n v="6.5"/>
    <s v="Don't Watch"/>
    <s v="Avg"/>
    <s v="Avg"/>
    <n v="158"/>
    <m/>
    <x v="639"/>
    <x v="639"/>
    <s v="Brian Skiba"/>
    <s v="Lionsgate/Grindstone Entertainment Group"/>
    <s v="PG-13"/>
    <s v="Kid"/>
  </r>
  <r>
    <s v="Widow Clicquot"/>
    <x v="2"/>
    <s v="July"/>
    <x v="5"/>
    <n v="7.5"/>
    <s v="Watch"/>
    <s v="Good"/>
    <s v="Good"/>
    <n v="129"/>
    <m/>
    <x v="510"/>
    <x v="510"/>
    <s v="Thomas Napper"/>
    <s v="Vertical"/>
    <s v="PG-13"/>
    <s v="Kid"/>
  </r>
  <r>
    <s v="Clawfoot"/>
    <x v="2"/>
    <s v="July"/>
    <x v="5"/>
    <n v="7.7"/>
    <s v="Watch"/>
    <s v="Good"/>
    <s v="Good"/>
    <n v="95"/>
    <m/>
    <x v="640"/>
    <x v="640"/>
    <s v="Michael Day"/>
    <s v="Vertical"/>
    <s v="PG-13"/>
    <s v="Kid"/>
  </r>
  <r>
    <s v="Spread"/>
    <x v="2"/>
    <s v="July"/>
    <x v="1"/>
    <n v="8.4"/>
    <s v="Watch"/>
    <s v="Good"/>
    <s v="Best"/>
    <n v="96"/>
    <m/>
    <x v="641"/>
    <x v="641"/>
    <s v="Ellie Kanner"/>
    <s v="Tubi"/>
    <s v="PG-13"/>
    <s v="Kid"/>
  </r>
  <r>
    <s v="The Fabulous Four"/>
    <x v="2"/>
    <s v="July"/>
    <x v="5"/>
    <n v="8.5"/>
    <s v="Watch"/>
    <s v="Good"/>
    <s v="Best"/>
    <n v="112"/>
    <m/>
    <x v="642"/>
    <x v="642"/>
    <m/>
    <s v="Bleecker Street"/>
    <s v="PG-13"/>
    <s v="Kid"/>
  </r>
  <r>
    <s v="Mothers' Instinct"/>
    <x v="2"/>
    <s v="July"/>
    <x v="1"/>
    <n v="7.4"/>
    <s v="Watch"/>
    <s v="Good"/>
    <s v="Good"/>
    <n v="92"/>
    <m/>
    <x v="643"/>
    <x v="643"/>
    <s v="Benoît Delhomme"/>
    <s v="Neon/Freckle Films/Mosaic"/>
    <s v="PG-13"/>
    <s v="Kid"/>
  </r>
  <r>
    <s v="The Girl in the Pool"/>
    <x v="2"/>
    <s v="July"/>
    <x v="10"/>
    <n v="8.3000000000000007"/>
    <s v="Watch"/>
    <s v="Good"/>
    <s v="Best"/>
    <n v="125"/>
    <m/>
    <x v="644"/>
    <x v="644"/>
    <s v="Dakota Gorman"/>
    <s v="Quiver Distribution"/>
    <s v="PG-13"/>
    <s v="Kid"/>
  </r>
  <r>
    <s v="Boneyard"/>
    <x v="2"/>
    <s v="June"/>
    <x v="1"/>
    <n v="6.6"/>
    <s v="Watch"/>
    <s v="Avg"/>
    <s v="Avg"/>
    <n v="159"/>
    <m/>
    <x v="567"/>
    <x v="567"/>
    <m/>
    <s v="Lionsgate"/>
    <s v="PG-13"/>
    <s v="Kid"/>
  </r>
  <r>
    <s v="Am I OK?"/>
    <x v="2"/>
    <s v="June"/>
    <x v="2"/>
    <n v="7.1"/>
    <s v="Watch"/>
    <s v="Good"/>
    <s v="Good"/>
    <n v="92"/>
    <m/>
    <x v="224"/>
    <x v="224"/>
    <s v="Tig Notaro,Stephanie Allynne"/>
    <s v="Max/Warner Bros. Pictures/Gloria Sanchez Productions"/>
    <s v="PG-13"/>
    <s v="Kid"/>
  </r>
  <r>
    <s v="Bad Boys: Ride or Die"/>
    <x v="2"/>
    <s v="June"/>
    <x v="6"/>
    <n v="7.1"/>
    <s v="Watch"/>
    <s v="Good"/>
    <s v="Good"/>
    <n v="113"/>
    <m/>
    <x v="645"/>
    <x v="645"/>
    <s v="Adil and Bilall"/>
    <s v="Columbia Pictures/Jerry Bruckheimer Films/Westbrook Studios"/>
    <s v="PG-13"/>
    <s v="Kid"/>
  </r>
  <r>
    <s v="Inside Out 2"/>
    <x v="2"/>
    <s v="June"/>
    <x v="0"/>
    <n v="7.8"/>
    <s v="Watch"/>
    <s v="Good"/>
    <s v="Good"/>
    <n v="144"/>
    <m/>
    <x v="646"/>
    <x v="646"/>
    <s v="Kelsey Mann"/>
    <s v="Walt Disney Pictures/Pixar Animation Studios"/>
    <s v="PG"/>
    <s v="Kid"/>
  </r>
  <r>
    <s v="Arena Wars"/>
    <x v="2"/>
    <s v="June"/>
    <x v="2"/>
    <n v="7.9"/>
    <s v="Watch"/>
    <s v="Good"/>
    <s v="Good"/>
    <n v="121"/>
    <m/>
    <x v="358"/>
    <x v="358"/>
    <s v="Brandon Slagle"/>
    <s v="Paramount+"/>
    <s v="PG-13"/>
    <s v="Kid"/>
  </r>
  <r>
    <s v="Late Bloomers"/>
    <x v="2"/>
    <s v="June"/>
    <x v="1"/>
    <n v="7.4"/>
    <s v="Watch"/>
    <s v="Good"/>
    <s v="Good"/>
    <n v="146"/>
    <m/>
    <x v="476"/>
    <x v="476"/>
    <s v="Lisa Steen"/>
    <s v="Vertical"/>
    <s v="PG-13"/>
    <s v="Kid"/>
  </r>
  <r>
    <s v="Trim Season"/>
    <x v="2"/>
    <s v="June"/>
    <x v="1"/>
    <n v="7.6"/>
    <s v="Watch"/>
    <s v="Good"/>
    <s v="Good"/>
    <n v="100"/>
    <m/>
    <x v="647"/>
    <x v="647"/>
    <s v="Ariel Vida"/>
    <s v="Blue Harbor Entertainment"/>
    <s v="PG-13"/>
    <s v="Kid"/>
  </r>
  <r>
    <s v="Ultraman: Rising"/>
    <x v="2"/>
    <s v="June"/>
    <x v="0"/>
    <n v="6.6"/>
    <s v="Watch"/>
    <s v="Avg"/>
    <s v="Avg"/>
    <n v="135"/>
    <m/>
    <x v="648"/>
    <x v="648"/>
    <m/>
    <s v="Netflix/Netflix Animation/Tsuburaya Productions"/>
    <s v="PG-13"/>
    <s v="Kid"/>
  </r>
  <r>
    <s v="The Present"/>
    <x v="2"/>
    <s v="June"/>
    <x v="9"/>
    <n v="7.3"/>
    <s v="Watch"/>
    <s v="Good"/>
    <s v="Good"/>
    <n v="97"/>
    <m/>
    <x v="649"/>
    <x v="649"/>
    <s v="Christian Ditter"/>
    <s v="Gravitas Ventures/AGC Studios"/>
    <s v="R"/>
    <s v="Adult"/>
  </r>
  <r>
    <s v="Ghostlight"/>
    <x v="2"/>
    <s v="June"/>
    <x v="7"/>
    <n v="6.8"/>
    <s v="Watch"/>
    <s v="Avg"/>
    <s v="Avg"/>
    <n v="92"/>
    <m/>
    <x v="650"/>
    <x v="650"/>
    <s v="Alex Thompson,Kelly O'Sullivan"/>
    <s v="IFC Films/ Sapan Studio"/>
    <s v="R"/>
    <s v="Adult"/>
  </r>
  <r>
    <s v="Ride"/>
    <x v="2"/>
    <s v="June"/>
    <x v="1"/>
    <n v="6.3"/>
    <s v="Don't Watch"/>
    <s v="Avg"/>
    <s v="Avg"/>
    <n v="102"/>
    <m/>
    <x v="651"/>
    <x v="651"/>
    <m/>
    <s v="Well Go USA Entertainment"/>
    <s v="PG-13"/>
    <s v="Kid"/>
  </r>
  <r>
    <s v="Kinds of Kindness"/>
    <x v="2"/>
    <s v="June"/>
    <x v="3"/>
    <n v="6.7"/>
    <s v="Watch"/>
    <s v="Avg"/>
    <s v="Avg"/>
    <n v="127"/>
    <m/>
    <x v="652"/>
    <x v="652"/>
    <m/>
    <s v="Searchlight Pictures/Film4/Element Pictures"/>
    <s v="PG-13"/>
    <s v="Kid"/>
  </r>
  <r>
    <s v="Trigger Warning"/>
    <x v="2"/>
    <s v="June"/>
    <x v="2"/>
    <n v="6.8"/>
    <s v="Watch"/>
    <s v="Avg"/>
    <s v="Avg"/>
    <n v="146"/>
    <m/>
    <x v="420"/>
    <x v="420"/>
    <s v="Mouly Surya"/>
    <s v="Netflix/Thunder Road Films"/>
    <s v="PG-13"/>
    <s v="Kid"/>
  </r>
  <r>
    <s v="Blackwater Lane"/>
    <x v="2"/>
    <s v="June"/>
    <x v="2"/>
    <n v="9.1999999999999993"/>
    <s v="Watch"/>
    <s v="Best"/>
    <s v="Best"/>
    <n v="104"/>
    <m/>
    <x v="653"/>
    <x v="653"/>
    <s v="Jeff Celentano"/>
    <s v="Lionsgate/Grindstone Entertainment Group"/>
    <s v="PG-13"/>
    <s v="Kid"/>
  </r>
  <r>
    <s v="Horizon: An American Saga – Chapter 1"/>
    <x v="2"/>
    <s v="June"/>
    <x v="2"/>
    <n v="7.3"/>
    <s v="Watch"/>
    <s v="Good"/>
    <s v="Good"/>
    <n v="160"/>
    <m/>
    <x v="654"/>
    <x v="654"/>
    <m/>
    <s v="Warner Bros. Pictures/New Line Cinema"/>
    <s v="PG-13"/>
    <s v="Kid"/>
  </r>
  <r>
    <s v="A Family Affair"/>
    <x v="2"/>
    <s v="June"/>
    <x v="1"/>
    <n v="7.5"/>
    <s v="Watch"/>
    <s v="Good"/>
    <s v="Good"/>
    <n v="138"/>
    <m/>
    <x v="655"/>
    <x v="655"/>
    <s v="Richard LaGravenese"/>
    <s v="Netflix/Roth/Kirschenbaum Films"/>
    <s v="PG-13"/>
    <s v="Kid"/>
  </r>
  <r>
    <s v="Reunion"/>
    <x v="2"/>
    <s v="June"/>
    <x v="14"/>
    <n v="8.1"/>
    <s v="Watch"/>
    <s v="Good"/>
    <s v="Best"/>
    <n v="150"/>
    <m/>
    <x v="600"/>
    <x v="600"/>
    <s v="Chris Nelson"/>
    <s v="Republic Pictures/Spyglass Media Group/Lionsgate"/>
    <s v="PG-13"/>
    <s v="Kid"/>
  </r>
  <r>
    <s v="Family Portrait"/>
    <x v="2"/>
    <s v="June"/>
    <x v="7"/>
    <n v="8.1"/>
    <s v="Watch"/>
    <s v="Good"/>
    <s v="Best"/>
    <n v="159"/>
    <m/>
    <x v="593"/>
    <x v="593"/>
    <m/>
    <s v="Conjuring Productions / Insufficient Funds"/>
    <s v="R"/>
    <s v="Adult"/>
  </r>
  <r>
    <s v="Dune: Part Two"/>
    <x v="2"/>
    <s v="March"/>
    <x v="2"/>
    <n v="8.9"/>
    <s v="Watch"/>
    <s v="Best"/>
    <s v="Best"/>
    <n v="128"/>
    <m/>
    <x v="656"/>
    <x v="656"/>
    <m/>
    <s v="Warner Bros. Pictures/Legendary Pictures"/>
    <s v="PG-13"/>
    <s v="Kid"/>
  </r>
  <r>
    <s v="Ricky Stanicky"/>
    <x v="2"/>
    <s v="March"/>
    <x v="1"/>
    <n v="6.9"/>
    <s v="Watch"/>
    <s v="Avg"/>
    <s v="Avg"/>
    <n v="123"/>
    <m/>
    <x v="422"/>
    <x v="422"/>
    <m/>
    <s v="Amazon MGM Studios"/>
    <s v="PG-13"/>
    <s v="Kid"/>
  </r>
  <r>
    <s v="Kung Fu Panda 4"/>
    <x v="2"/>
    <s v="March"/>
    <x v="0"/>
    <n v="7.4"/>
    <s v="Watch"/>
    <s v="Good"/>
    <s v="Good"/>
    <n v="113"/>
    <m/>
    <x v="657"/>
    <x v="657"/>
    <s v="Mike Mitchell"/>
    <s v="Universal Pictures/DreamWorks Animation"/>
    <s v="PG-13"/>
    <s v="Kid"/>
  </r>
  <r>
    <s v="The Primevals"/>
    <x v="2"/>
    <s v="March"/>
    <x v="1"/>
    <n v="8.5"/>
    <s v="Watch"/>
    <s v="Good"/>
    <s v="Best"/>
    <n v="157"/>
    <m/>
    <x v="373"/>
    <x v="373"/>
    <m/>
    <s v="Full Moon Entertainment/Castel Film Romania"/>
    <s v="PG-13"/>
    <s v="Kid"/>
  </r>
  <r>
    <s v="Little Wing"/>
    <x v="2"/>
    <s v="March"/>
    <x v="6"/>
    <n v="7.4"/>
    <s v="Watch"/>
    <s v="Good"/>
    <s v="Good"/>
    <n v="98"/>
    <m/>
    <x v="407"/>
    <x v="407"/>
    <s v="Dean Israelite"/>
    <s v="Paramount+/Awesomeness Films"/>
    <s v="PG-13"/>
    <s v="Kid"/>
  </r>
  <r>
    <s v="Arthur the King"/>
    <x v="2"/>
    <s v="March"/>
    <x v="1"/>
    <n v="6"/>
    <s v="Don't Watch"/>
    <s v="Avg"/>
    <s v="Avg"/>
    <n v="147"/>
    <m/>
    <x v="658"/>
    <x v="658"/>
    <s v="Simon Cellan Jones"/>
    <s v="Lionsgate/Entertainment One/Tucker Tooley Entertainment"/>
    <s v="PG-13"/>
    <s v="Kid"/>
  </r>
  <r>
    <s v="Bardejov"/>
    <x v="2"/>
    <s v="March"/>
    <x v="3"/>
    <n v="9.1999999999999993"/>
    <s v="Watch"/>
    <s v="Best"/>
    <s v="Best"/>
    <n v="152"/>
    <m/>
    <x v="74"/>
    <x v="74"/>
    <s v="Danny A. Abeckaser"/>
    <s v="Gravitas Ventures"/>
    <s v="PG-13"/>
    <s v="Kid"/>
  </r>
  <r>
    <s v="Road House"/>
    <x v="2"/>
    <s v="March"/>
    <x v="9"/>
    <n v="8.5"/>
    <s v="Watch"/>
    <s v="Good"/>
    <s v="Best"/>
    <n v="127"/>
    <m/>
    <x v="659"/>
    <x v="659"/>
    <s v="Doug Liman"/>
    <s v="Amazon Prime Video/Metro-Goldwyn-Mayer/Silver Pictures"/>
    <s v="R"/>
    <s v="Adult"/>
  </r>
  <r>
    <s v="Ghostbusters: Frozen Empire"/>
    <x v="2"/>
    <s v="March"/>
    <x v="7"/>
    <n v="8.4"/>
    <s v="Watch"/>
    <s v="Good"/>
    <s v="Best"/>
    <n v="117"/>
    <m/>
    <x v="660"/>
    <x v="660"/>
    <m/>
    <s v="Columbia Pictures/Ghost Corps"/>
    <s v="R"/>
    <s v="Adult"/>
  </r>
  <r>
    <s v="Easter Bloody Easter"/>
    <x v="2"/>
    <s v="March"/>
    <x v="8"/>
    <n v="6.2"/>
    <s v="Don't Watch"/>
    <s v="Avg"/>
    <s v="Avg"/>
    <n v="119"/>
    <m/>
    <x v="661"/>
    <x v="661"/>
    <s v="Diane Foster"/>
    <s v="WallyBird Productions"/>
    <s v="R"/>
    <s v="Adult"/>
  </r>
  <r>
    <s v="Godzilla x Kong: The New Empire"/>
    <x v="2"/>
    <s v="March"/>
    <x v="18"/>
    <n v="8.8000000000000007"/>
    <s v="Watch"/>
    <s v="Best"/>
    <s v="Best"/>
    <n v="145"/>
    <m/>
    <x v="662"/>
    <x v="662"/>
    <s v="Adam Wingard"/>
    <s v="Warner Bros. Pictures/Legendary Pictures"/>
    <s v="PG-13"/>
    <s v="Kid"/>
  </r>
  <r>
    <s v="Spaceman"/>
    <x v="2"/>
    <s v="March"/>
    <x v="1"/>
    <n v="8.6999999999999993"/>
    <s v="Watch"/>
    <s v="Best"/>
    <s v="Best"/>
    <n v="147"/>
    <m/>
    <x v="165"/>
    <x v="165"/>
    <s v="Johan Renck"/>
    <s v="Netflix/Tango Entertainment/Free Association"/>
    <s v="PG-13"/>
    <s v="Kid"/>
  </r>
  <r>
    <s v="Megamind vs. the Doom Syndicate"/>
    <x v="2"/>
    <s v="March"/>
    <x v="0"/>
    <n v="6.1"/>
    <s v="Don't Watch"/>
    <s v="Avg"/>
    <s v="Avg"/>
    <n v="100"/>
    <m/>
    <x v="663"/>
    <x v="663"/>
    <s v="Eric Fogel"/>
    <s v="Peacock/DreamWorks Animation Television"/>
    <s v="PG-13"/>
    <s v="Kid"/>
  </r>
  <r>
    <s v="The Thundermans Return"/>
    <x v="2"/>
    <s v="March"/>
    <x v="12"/>
    <n v="8"/>
    <s v="Watch"/>
    <s v="Good"/>
    <s v="Good"/>
    <n v="143"/>
    <m/>
    <x v="664"/>
    <x v="664"/>
    <s v="Trevor Kirschner"/>
    <s v="Paramount+/Nickelodeon Movies/Awesomeness Films"/>
    <s v="PG-13"/>
    <s v="Kid"/>
  </r>
  <r>
    <s v="Imaginary"/>
    <x v="2"/>
    <s v="March"/>
    <x v="7"/>
    <n v="7.6"/>
    <s v="Watch"/>
    <s v="Good"/>
    <s v="Good"/>
    <n v="118"/>
    <m/>
    <x v="665"/>
    <x v="665"/>
    <m/>
    <s v="Lionsgate/Blumhouse Productions"/>
    <s v="R"/>
    <s v="Adult"/>
  </r>
  <r>
    <s v="Damsel"/>
    <x v="2"/>
    <s v="March"/>
    <x v="9"/>
    <n v="7.5"/>
    <s v="Watch"/>
    <s v="Good"/>
    <s v="Good"/>
    <n v="162"/>
    <m/>
    <x v="666"/>
    <x v="666"/>
    <s v="Juan Carlos Fresnadillo"/>
    <s v="Netflix/Roth/Kirschenbaum Films"/>
    <s v="R"/>
    <s v="Adult"/>
  </r>
  <r>
    <s v="Love Lies Bleeding"/>
    <x v="2"/>
    <s v="March"/>
    <x v="2"/>
    <n v="8.1999999999999993"/>
    <s v="Watch"/>
    <s v="Good"/>
    <s v="Best"/>
    <n v="100"/>
    <m/>
    <x v="667"/>
    <x v="667"/>
    <m/>
    <s v="A24/Film4"/>
    <s v="PG-13"/>
    <s v="Kid"/>
  </r>
  <r>
    <s v="Cabrini"/>
    <x v="2"/>
    <s v="March"/>
    <x v="4"/>
    <n v="7.4"/>
    <s v="Watch"/>
    <s v="Good"/>
    <s v="Good"/>
    <n v="110"/>
    <m/>
    <x v="668"/>
    <x v="668"/>
    <s v="Alejandro Monteverde"/>
    <s v="Angel Studios"/>
    <s v="PG-13"/>
    <s v="Kid"/>
  </r>
  <r>
    <s v="Accidental Texan"/>
    <x v="2"/>
    <s v="March"/>
    <x v="2"/>
    <n v="6.4"/>
    <s v="Don't Watch"/>
    <s v="Avg"/>
    <s v="Avg"/>
    <n v="133"/>
    <m/>
    <x v="669"/>
    <x v="669"/>
    <s v="Mark Bristol"/>
    <s v="Roadside Attractions"/>
    <s v="PG-13"/>
    <s v="Kid"/>
  </r>
  <r>
    <s v="American Dreamer"/>
    <x v="2"/>
    <s v="March"/>
    <x v="1"/>
    <n v="8.9"/>
    <s v="Watch"/>
    <s v="Best"/>
    <s v="Best"/>
    <n v="125"/>
    <m/>
    <x v="670"/>
    <x v="670"/>
    <s v="Paul Dektor"/>
    <s v="Vertical Entertainment"/>
    <s v="PG-13"/>
    <s v="Kid"/>
  </r>
  <r>
    <s v="Glitter &amp; Doom"/>
    <x v="2"/>
    <s v="March"/>
    <x v="13"/>
    <n v="8.1999999999999993"/>
    <s v="Watch"/>
    <s v="Good"/>
    <s v="Best"/>
    <n v="121"/>
    <m/>
    <x v="604"/>
    <x v="604"/>
    <s v="Tom Gustafson"/>
    <s v="Music Box Films"/>
    <s v="PG-13"/>
    <s v="Kid"/>
  </r>
  <r>
    <s v="Irish Wish"/>
    <x v="2"/>
    <s v="March"/>
    <x v="12"/>
    <n v="6.8"/>
    <s v="Watch"/>
    <s v="Avg"/>
    <s v="Avg"/>
    <n v="143"/>
    <m/>
    <x v="671"/>
    <x v="671"/>
    <s v="Janeen Damian"/>
    <s v="Netflix/Motion Picture Corporation of America"/>
    <s v="PG-13"/>
    <s v="Kid"/>
  </r>
  <r>
    <s v="One Life"/>
    <x v="2"/>
    <s v="March"/>
    <x v="1"/>
    <n v="8.4"/>
    <s v="Watch"/>
    <s v="Good"/>
    <s v="Best"/>
    <n v="120"/>
    <m/>
    <x v="672"/>
    <x v="672"/>
    <s v="James Hawes"/>
    <s v="Bleecker Street/BBC Film/FilmNation Entertainment"/>
    <s v="PG-13"/>
    <s v="Kid"/>
  </r>
  <r>
    <s v="Knox Goes Away"/>
    <x v="2"/>
    <s v="March"/>
    <x v="1"/>
    <n v="6.4"/>
    <s v="Don't Watch"/>
    <s v="Avg"/>
    <s v="Avg"/>
    <n v="94"/>
    <m/>
    <x v="35"/>
    <x v="35"/>
    <s v="Michael Keaton"/>
    <s v="Saban Films/FilmNation Entertainment/Brookstreet Pictures"/>
    <s v="PG-13"/>
    <s v="Kid"/>
  </r>
  <r>
    <s v="Immaculate"/>
    <x v="2"/>
    <s v="March"/>
    <x v="5"/>
    <n v="7.4"/>
    <s v="Watch"/>
    <s v="Good"/>
    <s v="Good"/>
    <n v="140"/>
    <m/>
    <x v="163"/>
    <x v="163"/>
    <s v="Michael Mohan"/>
    <s v="Neon/Black Bear Pictures"/>
    <s v="PG-13"/>
    <s v="Kid"/>
  </r>
  <r>
    <s v="Sleeping Dogs"/>
    <x v="2"/>
    <s v="March"/>
    <x v="17"/>
    <n v="6.9"/>
    <s v="Watch"/>
    <s v="Avg"/>
    <s v="Avg"/>
    <n v="141"/>
    <m/>
    <x v="673"/>
    <x v="673"/>
    <m/>
    <s v="The Avenue / Nickel City Productions / Highland Film Group"/>
    <s v="PG-13"/>
    <s v="Kid"/>
  </r>
  <r>
    <s v="The Casagrandes Movie"/>
    <x v="2"/>
    <s v="March"/>
    <x v="0"/>
    <n v="7.2"/>
    <s v="Watch"/>
    <s v="Good"/>
    <s v="Good"/>
    <n v="120"/>
    <m/>
    <x v="114"/>
    <x v="114"/>
    <s v="Miguel Puga"/>
    <s v="Netflix/Nickelodeon Animation Studio"/>
    <s v="PG-13"/>
    <s v="Kid"/>
  </r>
  <r>
    <s v="Asphalt City"/>
    <x v="2"/>
    <s v="March"/>
    <x v="2"/>
    <n v="7.4"/>
    <s v="Watch"/>
    <s v="Good"/>
    <s v="Good"/>
    <n v="122"/>
    <m/>
    <x v="674"/>
    <x v="674"/>
    <s v="Jean-Stéphane Sauvaire"/>
    <s v="Roadside Attractions/Vertical Entertainment/FilmNation Entertainment"/>
    <s v="PG-13"/>
    <s v="Kid"/>
  </r>
  <r>
    <s v="The Listener"/>
    <x v="2"/>
    <s v="March"/>
    <x v="1"/>
    <n v="7.5"/>
    <s v="Watch"/>
    <s v="Good"/>
    <s v="Good"/>
    <n v="123"/>
    <m/>
    <x v="675"/>
    <x v="675"/>
    <s v="Steve Buscemi"/>
    <s v="Vertical Entertainment"/>
    <s v="PG-13"/>
    <s v="Kid"/>
  </r>
  <r>
    <s v="The Idea of You"/>
    <x v="2"/>
    <s v="May"/>
    <x v="6"/>
    <n v="7"/>
    <s v="Watch"/>
    <s v="Avg"/>
    <s v="Good"/>
    <n v="100"/>
    <m/>
    <x v="676"/>
    <x v="676"/>
    <m/>
    <s v="Amazon MGM Studios"/>
    <s v="PG-13"/>
    <s v="Kid"/>
  </r>
  <r>
    <s v="The Fall Guy"/>
    <x v="2"/>
    <s v="May"/>
    <x v="8"/>
    <n v="6"/>
    <s v="Don't Watch"/>
    <s v="Avg"/>
    <s v="Avg"/>
    <n v="159"/>
    <m/>
    <x v="677"/>
    <x v="677"/>
    <s v="David Leitch"/>
    <s v="Universal Pictures/87North Productions"/>
    <s v="R"/>
    <s v="Adult"/>
  </r>
  <r>
    <s v="Mother of the Bride"/>
    <x v="2"/>
    <s v="May"/>
    <x v="6"/>
    <n v="6.1"/>
    <s v="Don't Watch"/>
    <s v="Avg"/>
    <s v="Avg"/>
    <n v="103"/>
    <m/>
    <x v="200"/>
    <x v="200"/>
    <s v="Mark Waters"/>
    <s v="Netflix/Living Films"/>
    <s v="PG-13"/>
    <s v="Kid"/>
  </r>
  <r>
    <s v="Kingdom of the Planet of the Apes"/>
    <x v="2"/>
    <s v="May"/>
    <x v="1"/>
    <n v="7.9"/>
    <s v="Watch"/>
    <s v="Good"/>
    <s v="Good"/>
    <n v="142"/>
    <m/>
    <x v="678"/>
    <x v="678"/>
    <s v="Wes Ball"/>
    <s v="20th Century Studios"/>
    <s v="PG-13"/>
    <s v="Kid"/>
  </r>
  <r>
    <s v="Darkness of Man"/>
    <x v="2"/>
    <s v="May"/>
    <x v="9"/>
    <n v="7.3"/>
    <s v="Watch"/>
    <s v="Good"/>
    <s v="Good"/>
    <n v="127"/>
    <m/>
    <x v="679"/>
    <x v="679"/>
    <m/>
    <s v="Saban Films"/>
    <s v="R"/>
    <s v="Adult"/>
  </r>
  <r>
    <s v="Furiosa: A Mad Max Saga"/>
    <x v="2"/>
    <s v="May"/>
    <x v="2"/>
    <n v="8.5"/>
    <s v="Watch"/>
    <s v="Good"/>
    <s v="Best"/>
    <n v="142"/>
    <m/>
    <x v="680"/>
    <x v="680"/>
    <m/>
    <s v="Warner Bros. Pictures/Kennedy Miller Mitchell"/>
    <s v="PG-13"/>
    <s v="Kid"/>
  </r>
  <r>
    <s v="The Legend of Catclaws Mountain"/>
    <x v="2"/>
    <s v="May"/>
    <x v="1"/>
    <n v="8.1999999999999993"/>
    <s v="Watch"/>
    <s v="Good"/>
    <s v="Best"/>
    <n v="121"/>
    <m/>
    <x v="681"/>
    <x v="681"/>
    <m/>
    <s v="Lionsgate Home Entertainment"/>
    <s v="PG-13"/>
    <s v="Kid"/>
  </r>
  <r>
    <s v="Young Woman and the Sea"/>
    <x v="2"/>
    <s v="May"/>
    <x v="1"/>
    <n v="7.3"/>
    <s v="Watch"/>
    <s v="Good"/>
    <s v="Good"/>
    <n v="145"/>
    <m/>
    <x v="682"/>
    <x v="682"/>
    <s v="Joachim Rønning"/>
    <s v="Walt Disney Pictures/Jerry Bruckheimer Films"/>
    <s v="PG-13"/>
    <s v="Kid"/>
  </r>
  <r>
    <s v="Turtles All the Way Down"/>
    <x v="2"/>
    <s v="May"/>
    <x v="2"/>
    <n v="9.1"/>
    <s v="Watch"/>
    <s v="Best"/>
    <s v="Best"/>
    <n v="112"/>
    <m/>
    <x v="683"/>
    <x v="683"/>
    <s v="Hannah Marks"/>
    <s v="Max/Warner Bros. Pictures/New Line Cinema/Temple Hill Entertainment"/>
    <s v="PG-13"/>
    <s v="Kid"/>
  </r>
  <r>
    <s v="Unfrosted"/>
    <x v="2"/>
    <s v="May"/>
    <x v="12"/>
    <n v="6.8"/>
    <s v="Watch"/>
    <s v="Avg"/>
    <s v="Avg"/>
    <n v="143"/>
    <m/>
    <x v="671"/>
    <x v="671"/>
    <m/>
    <s v="Netflix/Columbus 81 Productions"/>
    <s v="PG-13"/>
    <s v="Kid"/>
  </r>
  <r>
    <s v="Prom Dates"/>
    <x v="2"/>
    <s v="May"/>
    <x v="1"/>
    <n v="9"/>
    <s v="Watch"/>
    <s v="Best"/>
    <s v="Best"/>
    <n v="132"/>
    <m/>
    <x v="461"/>
    <x v="461"/>
    <s v="Kim O. Nguyen"/>
    <s v="Hulu/LD Entertainment/Hartbeat Productions"/>
    <s v="PG-13"/>
    <s v="Kid"/>
  </r>
  <r>
    <s v="Chief of Station"/>
    <x v="2"/>
    <s v="May"/>
    <x v="1"/>
    <n v="8"/>
    <s v="Watch"/>
    <s v="Good"/>
    <s v="Good"/>
    <n v="158"/>
    <m/>
    <x v="684"/>
    <x v="684"/>
    <s v="Jesse V. Johnson"/>
    <s v="Vertical Entertainment"/>
    <s v="PG-13"/>
    <s v="Kid"/>
  </r>
  <r>
    <s v="Poolman"/>
    <x v="2"/>
    <s v="May"/>
    <x v="1"/>
    <n v="7.1"/>
    <s v="Watch"/>
    <s v="Good"/>
    <s v="Good"/>
    <n v="140"/>
    <m/>
    <x v="210"/>
    <x v="210"/>
    <m/>
    <s v="Vertical Entertainment/AGC Studios"/>
    <s v="PG-13"/>
    <s v="Kid"/>
  </r>
  <r>
    <s v="Not Another Church Movie"/>
    <x v="2"/>
    <s v="May"/>
    <x v="1"/>
    <n v="6.6"/>
    <s v="Watch"/>
    <s v="Avg"/>
    <s v="Avg"/>
    <n v="153"/>
    <m/>
    <x v="685"/>
    <x v="685"/>
    <s v="James Michael Cummings"/>
    <s v="Briarcliff Entertainment"/>
    <s v="PG-13"/>
    <s v="Kid"/>
  </r>
  <r>
    <s v="The Image of You"/>
    <x v="2"/>
    <s v="May"/>
    <x v="9"/>
    <n v="8.3000000000000007"/>
    <s v="Watch"/>
    <s v="Good"/>
    <s v="Best"/>
    <n v="137"/>
    <m/>
    <x v="686"/>
    <x v="686"/>
    <s v="Jeff Fisher"/>
    <s v="Republic Pictures"/>
    <s v="R"/>
    <s v="Adult"/>
  </r>
  <r>
    <s v="The Strangers: Chapter 1"/>
    <x v="2"/>
    <s v="May"/>
    <x v="1"/>
    <n v="8.1999999999999993"/>
    <s v="Watch"/>
    <s v="Good"/>
    <s v="Best"/>
    <n v="145"/>
    <m/>
    <x v="687"/>
    <x v="687"/>
    <s v="Renny Harlin"/>
    <s v="Lionsgate"/>
    <s v="PG-13"/>
    <s v="Kid"/>
  </r>
  <r>
    <s v="Back to Black"/>
    <x v="2"/>
    <s v="May"/>
    <x v="11"/>
    <n v="8.6"/>
    <s v="Watch"/>
    <s v="Best"/>
    <s v="Best"/>
    <n v="101"/>
    <m/>
    <x v="688"/>
    <x v="688"/>
    <s v="Sam Taylor-Johnson"/>
    <s v="Focus Features/StudioCanal/Monumental Pictures"/>
    <s v="PG-13"/>
    <s v="Kid"/>
  </r>
  <r>
    <s v="Thelma the Unicorn"/>
    <x v="2"/>
    <s v="May"/>
    <x v="0"/>
    <n v="7.7"/>
    <s v="Watch"/>
    <s v="Good"/>
    <s v="Good"/>
    <n v="161"/>
    <m/>
    <x v="689"/>
    <x v="689"/>
    <s v="Jared Hess, Lynn Wang"/>
    <s v="Netflix Animation/Scholastic Entertainment/ Netflix Studios"/>
    <s v="PG-13"/>
    <s v="Kid"/>
  </r>
  <r>
    <s v="Babes"/>
    <x v="2"/>
    <s v="May"/>
    <x v="1"/>
    <n v="8.6"/>
    <s v="Watch"/>
    <s v="Best"/>
    <s v="Best"/>
    <n v="116"/>
    <m/>
    <x v="690"/>
    <x v="690"/>
    <s v="Pamela Adlon"/>
    <s v="Neon/FilmNation Entertainment"/>
    <s v="PG-13"/>
    <s v="Kid"/>
  </r>
  <r>
    <s v="You Can't Run Forever"/>
    <x v="2"/>
    <s v="May"/>
    <x v="5"/>
    <n v="7"/>
    <s v="Watch"/>
    <s v="Avg"/>
    <s v="Good"/>
    <n v="94"/>
    <m/>
    <x v="691"/>
    <x v="691"/>
    <m/>
    <s v="Lionsgate/Voltage Pictures"/>
    <s v="PG-13"/>
    <s v="Kid"/>
  </r>
  <r>
    <s v="Dead Wrong"/>
    <x v="2"/>
    <s v="May"/>
    <x v="1"/>
    <n v="7"/>
    <s v="Watch"/>
    <s v="Avg"/>
    <s v="Good"/>
    <n v="112"/>
    <m/>
    <x v="603"/>
    <x v="603"/>
    <m/>
    <s v="Mill Creek Entertainment"/>
    <s v="PG-13"/>
    <s v="Kid"/>
  </r>
  <r>
    <s v="The Garfield Movie"/>
    <x v="2"/>
    <s v="May"/>
    <x v="15"/>
    <n v="8.4"/>
    <s v="Watch"/>
    <s v="Good"/>
    <s v="Best"/>
    <n v="102"/>
    <m/>
    <x v="692"/>
    <x v="692"/>
    <s v="Mark Dindal"/>
    <s v="Columbia Pictures/Alcon Entertainment/Prime Focus/One Cool Group/Wayfarer Studios/Stage 6 Films"/>
    <s v="PG-13"/>
    <s v="Kid"/>
  </r>
  <r>
    <s v="Atlas"/>
    <x v="2"/>
    <s v="May"/>
    <x v="18"/>
    <n v="7.7"/>
    <s v="Watch"/>
    <s v="Good"/>
    <s v="Good"/>
    <n v="140"/>
    <m/>
    <x v="693"/>
    <x v="693"/>
    <s v="Brad Peyton"/>
    <s v="Netflix/Nuyorican Productions/Berlanti-Schechter Films"/>
    <s v="PG-13"/>
    <s v="Kid"/>
  </r>
  <r>
    <s v="Hit Man"/>
    <x v="2"/>
    <s v="May"/>
    <x v="0"/>
    <n v="8.6"/>
    <s v="Watch"/>
    <s v="Best"/>
    <s v="Best"/>
    <n v="98"/>
    <m/>
    <x v="400"/>
    <x v="400"/>
    <m/>
    <s v="Netflix/Aggregate Films/AGC Studios"/>
    <s v="PG-13"/>
    <s v="Kid"/>
  </r>
  <r>
    <s v="Sight"/>
    <x v="2"/>
    <s v="May"/>
    <x v="1"/>
    <n v="8.6999999999999993"/>
    <s v="Watch"/>
    <s v="Best"/>
    <s v="Best"/>
    <n v="150"/>
    <m/>
    <x v="694"/>
    <x v="694"/>
    <m/>
    <s v="Angel Studios"/>
    <s v="PG-13"/>
    <s v="Kid"/>
  </r>
  <r>
    <s v="The Keeper"/>
    <x v="2"/>
    <s v="May"/>
    <x v="1"/>
    <n v="7.2"/>
    <s v="Watch"/>
    <s v="Good"/>
    <s v="Good"/>
    <n v="114"/>
    <m/>
    <x v="276"/>
    <x v="276"/>
    <s v="Angus Benfield"/>
    <s v="Lama Entertainment"/>
    <s v="PG-13"/>
    <s v="Kid"/>
  </r>
  <r>
    <s v="Ezra"/>
    <x v="2"/>
    <s v="May"/>
    <x v="1"/>
    <n v="7.7"/>
    <s v="Watch"/>
    <s v="Good"/>
    <s v="Good"/>
    <n v="116"/>
    <m/>
    <x v="695"/>
    <x v="695"/>
    <s v="Tony Goldwyn"/>
    <s v="Bleecker Street/Wayfarer Studios"/>
    <s v="PG-13"/>
    <s v="Kid"/>
  </r>
  <r>
    <s v="The Great Lillian Hall"/>
    <x v="2"/>
    <s v="May"/>
    <x v="5"/>
    <n v="6.9"/>
    <s v="Watch"/>
    <s v="Avg"/>
    <s v="Avg"/>
    <n v="117"/>
    <m/>
    <x v="274"/>
    <x v="274"/>
    <s v="Michael Cristofer"/>
    <s v="HBO Films/Max"/>
    <s v="PG-13"/>
    <s v="Kid"/>
  </r>
  <r>
    <s v="Shadow Land"/>
    <x v="2"/>
    <s v="May"/>
    <x v="6"/>
    <n v="7.7"/>
    <s v="Watch"/>
    <s v="Good"/>
    <s v="Good"/>
    <n v="143"/>
    <m/>
    <x v="696"/>
    <x v="696"/>
    <s v="James Bamford"/>
    <s v="Paramount Pictures"/>
    <s v="PG-13"/>
    <s v="Kid"/>
  </r>
  <r>
    <s v="Backspot"/>
    <x v="2"/>
    <s v="May"/>
    <x v="3"/>
    <n v="6.9"/>
    <s v="Watch"/>
    <s v="Avg"/>
    <s v="Avg"/>
    <n v="162"/>
    <m/>
    <x v="310"/>
    <x v="310"/>
    <s v="D. W. Waterson"/>
    <s v="XYZ Films"/>
    <s v="PG-13"/>
    <s v="Kid"/>
  </r>
  <r>
    <s v="Protocol-7"/>
    <x v="2"/>
    <s v="May"/>
    <x v="5"/>
    <n v="6.4"/>
    <s v="Don't Watch"/>
    <s v="Avg"/>
    <s v="Avg"/>
    <n v="139"/>
    <m/>
    <x v="71"/>
    <x v="71"/>
    <m/>
    <s v="Abramorama"/>
    <s v="PG-13"/>
    <s v="Kid"/>
  </r>
  <r>
    <s v="Deer Camp '86"/>
    <x v="2"/>
    <s v="May"/>
    <x v="5"/>
    <n v="6.3"/>
    <s v="Don't Watch"/>
    <s v="Avg"/>
    <s v="Avg"/>
    <n v="96"/>
    <m/>
    <x v="697"/>
    <x v="697"/>
    <s v="L. Van Dyke Siboutszen"/>
    <s v="Panoramic Pictures"/>
    <s v="PG-13"/>
    <s v="Kid"/>
  </r>
  <r>
    <s v="Here"/>
    <x v="2"/>
    <s v="November"/>
    <x v="9"/>
    <n v="6.3"/>
    <s v="Don't Watch"/>
    <s v="Avg"/>
    <s v="Avg"/>
    <n v="102"/>
    <m/>
    <x v="698"/>
    <x v="698"/>
    <m/>
    <s v="TriStar Pictures/Miramax/ImageMovers"/>
    <s v="R"/>
    <s v="Adult"/>
  </r>
  <r>
    <s v="Meet Me Next Christmas"/>
    <x v="2"/>
    <s v="November"/>
    <x v="4"/>
    <n v="8.4"/>
    <s v="Watch"/>
    <s v="Good"/>
    <s v="Best"/>
    <n v="90"/>
    <m/>
    <x v="699"/>
    <x v="699"/>
    <s v="Rusty Cundieff"/>
    <s v="Netflix"/>
    <s v="PG-13"/>
    <s v="Kid"/>
  </r>
  <r>
    <s v="A Sudden Case of Christmas"/>
    <x v="2"/>
    <s v="November"/>
    <x v="6"/>
    <n v="6.7"/>
    <s v="Watch"/>
    <s v="Avg"/>
    <s v="Avg"/>
    <n v="103"/>
    <m/>
    <x v="700"/>
    <x v="700"/>
    <m/>
    <s v="Shout! Studios"/>
    <s v="PG-13"/>
    <s v="Kid"/>
  </r>
  <r>
    <s v="Hot Frosty"/>
    <x v="2"/>
    <s v="November"/>
    <x v="1"/>
    <n v="9.1999999999999993"/>
    <s v="Watch"/>
    <s v="Best"/>
    <s v="Best"/>
    <n v="92"/>
    <m/>
    <x v="701"/>
    <x v="701"/>
    <s v="Jerry Ciccoritti"/>
    <s v="Netflix/Muse Entertainment"/>
    <s v="PG-13"/>
    <s v="Kid"/>
  </r>
  <r>
    <s v="Red One"/>
    <x v="2"/>
    <s v="November"/>
    <x v="8"/>
    <n v="8.1999999999999993"/>
    <s v="Watch"/>
    <s v="Good"/>
    <s v="Best"/>
    <n v="94"/>
    <m/>
    <x v="702"/>
    <x v="702"/>
    <s v="Jake Kasdan"/>
    <s v="Metro-Goldwyn-Mayer/Seven Bucks Productions"/>
    <s v="R"/>
    <s v="Adult"/>
  </r>
  <r>
    <s v="The Merry Gentlemen"/>
    <x v="2"/>
    <s v="November"/>
    <x v="5"/>
    <n v="6.3"/>
    <s v="Don't Watch"/>
    <s v="Avg"/>
    <s v="Avg"/>
    <n v="96"/>
    <m/>
    <x v="703"/>
    <x v="703"/>
    <s v="Peter Sullivan"/>
    <s v="Netflix"/>
    <s v="PG-13"/>
    <s v="Kid"/>
  </r>
  <r>
    <s v="Wicked"/>
    <x v="2"/>
    <s v="November"/>
    <x v="1"/>
    <n v="7.6"/>
    <s v="Watch"/>
    <s v="Good"/>
    <s v="Good"/>
    <n v="163"/>
    <m/>
    <x v="704"/>
    <x v="704"/>
    <s v="Jon M. Chu"/>
    <s v="Universal Pictures/Marc Platt Productions"/>
    <s v="PG-13"/>
    <s v="Kid"/>
  </r>
  <r>
    <s v="Dear Santa"/>
    <x v="2"/>
    <s v="November"/>
    <x v="1"/>
    <n v="6.2"/>
    <s v="Don't Watch"/>
    <s v="Avg"/>
    <s v="Avg"/>
    <n v="104"/>
    <m/>
    <x v="705"/>
    <x v="705"/>
    <s v="Bobby Farrelly"/>
    <s v="Paramount+/Paramount Pictures/Conundrum Entertainment"/>
    <s v="PG-13"/>
    <s v="Kid"/>
  </r>
  <r>
    <s v="Watchmen: Chapter II"/>
    <x v="2"/>
    <s v="November"/>
    <x v="0"/>
    <n v="9.1"/>
    <s v="Watch"/>
    <s v="Best"/>
    <s v="Best"/>
    <n v="91"/>
    <m/>
    <x v="70"/>
    <x v="70"/>
    <s v="Brandon Vietti"/>
    <s v="Warner Bros. Animation/Paramount Pictures/DC Entertainment"/>
    <s v="PG-13"/>
    <s v="Kid"/>
  </r>
  <r>
    <s v="Moana 2"/>
    <x v="2"/>
    <s v="November"/>
    <x v="0"/>
    <n v="8.4"/>
    <s v="Watch"/>
    <s v="Good"/>
    <s v="Best"/>
    <n v="138"/>
    <m/>
    <x v="706"/>
    <x v="706"/>
    <m/>
    <s v="Walt Disney Pictures/Walt Disney Animation Studios"/>
    <s v="PG"/>
    <s v="Kid"/>
  </r>
  <r>
    <s v="Sweethearts"/>
    <x v="2"/>
    <s v="November"/>
    <x v="2"/>
    <n v="8.3000000000000007"/>
    <s v="Watch"/>
    <s v="Good"/>
    <s v="Best"/>
    <n v="131"/>
    <m/>
    <x v="707"/>
    <x v="707"/>
    <m/>
    <s v="Max/Warner Bros. Pictures/New Line Cinema"/>
    <s v="PG-13"/>
    <s v="Kid"/>
  </r>
  <r>
    <s v="Nutcrackers"/>
    <x v="2"/>
    <s v="November"/>
    <x v="11"/>
    <n v="7.3"/>
    <s v="Watch"/>
    <s v="Good"/>
    <s v="Good"/>
    <n v="121"/>
    <m/>
    <x v="708"/>
    <x v="708"/>
    <s v="David Gordon Green"/>
    <s v="Hulu/Rough House Pictures"/>
    <s v="PG-13"/>
    <s v="Kid"/>
  </r>
  <r>
    <s v="Juror #2"/>
    <x v="2"/>
    <s v="November"/>
    <x v="2"/>
    <n v="9.1"/>
    <s v="Watch"/>
    <s v="Best"/>
    <s v="Best"/>
    <n v="136"/>
    <m/>
    <x v="709"/>
    <x v="709"/>
    <s v="Clint Eastwood"/>
    <s v="Warner Bros. Pictures/Gotham Group/Malpaso Productions"/>
    <s v="PG-13"/>
    <s v="Kid"/>
  </r>
  <r>
    <s v="Absolution"/>
    <x v="2"/>
    <s v="November"/>
    <x v="4"/>
    <n v="7.1"/>
    <s v="Watch"/>
    <s v="Good"/>
    <s v="Good"/>
    <n v="95"/>
    <m/>
    <x v="710"/>
    <x v="710"/>
    <s v="Hans Petter Moland"/>
    <s v="Samuel Goldwyn Films"/>
    <s v="PG-13"/>
    <s v="Kid"/>
  </r>
  <r>
    <s v="The Gutter"/>
    <x v="2"/>
    <s v="November"/>
    <x v="1"/>
    <n v="7"/>
    <s v="Watch"/>
    <s v="Avg"/>
    <s v="Good"/>
    <n v="145"/>
    <m/>
    <x v="470"/>
    <x v="470"/>
    <s v="Yassir Lester, Isaiah Lester"/>
    <s v="Magnolia Pictures/Village Roadshow Pictures"/>
    <s v="PG-13"/>
    <s v="Kid"/>
  </r>
  <r>
    <s v="The Best Christmas Pageant Ever"/>
    <x v="2"/>
    <s v="November"/>
    <x v="3"/>
    <n v="6.3"/>
    <s v="Don't Watch"/>
    <s v="Avg"/>
    <s v="Avg"/>
    <n v="102"/>
    <m/>
    <x v="711"/>
    <x v="711"/>
    <s v="Dallas Jenkins"/>
    <s v="Lionsgate/Kingdom Story Company"/>
    <s v="PG-13"/>
    <s v="Kid"/>
  </r>
  <r>
    <s v="The Piano Lesson"/>
    <x v="2"/>
    <s v="November"/>
    <x v="5"/>
    <n v="7"/>
    <s v="Watch"/>
    <s v="Avg"/>
    <s v="Good"/>
    <n v="148"/>
    <m/>
    <x v="505"/>
    <x v="505"/>
    <m/>
    <s v="Netflix/Escape Artists"/>
    <s v="PG-13"/>
    <s v="Kid"/>
  </r>
  <r>
    <s v="Elevation"/>
    <x v="2"/>
    <s v="November"/>
    <x v="8"/>
    <n v="8.1999999999999993"/>
    <s v="Watch"/>
    <s v="Good"/>
    <s v="Best"/>
    <n v="124"/>
    <m/>
    <x v="712"/>
    <x v="712"/>
    <s v="George Nolfi"/>
    <s v="Vertical/Lyrical Media"/>
    <s v="R"/>
    <s v="Adult"/>
  </r>
  <r>
    <s v="Christmas Eve in Miller's Point"/>
    <x v="2"/>
    <s v="November"/>
    <x v="7"/>
    <n v="6.2"/>
    <s v="Don't Watch"/>
    <s v="Avg"/>
    <s v="Avg"/>
    <n v="101"/>
    <m/>
    <x v="713"/>
    <x v="713"/>
    <m/>
    <s v="IFC Films"/>
    <s v="R"/>
    <s v="Adult"/>
  </r>
  <r>
    <s v="Love Bomb"/>
    <x v="2"/>
    <s v="November"/>
    <x v="6"/>
    <n v="6.8"/>
    <s v="Watch"/>
    <s v="Avg"/>
    <s v="Avg"/>
    <n v="161"/>
    <m/>
    <x v="350"/>
    <x v="350"/>
    <s v="David Guglielmo"/>
    <s v="Quiver Distribution"/>
    <s v="PG-13"/>
    <s v="Kid"/>
  </r>
  <r>
    <s v="Daruma"/>
    <x v="2"/>
    <s v="November"/>
    <x v="1"/>
    <n v="7.9"/>
    <s v="Watch"/>
    <s v="Good"/>
    <s v="Good"/>
    <n v="91"/>
    <m/>
    <x v="442"/>
    <x v="442"/>
    <s v="Alexander Yellen"/>
    <s v="Freestyle Digital Media"/>
    <s v="PG-13"/>
    <s v="Kid"/>
  </r>
  <r>
    <s v="Gladiator II"/>
    <x v="2"/>
    <s v="November"/>
    <x v="2"/>
    <n v="7.9"/>
    <s v="Watch"/>
    <s v="Good"/>
    <s v="Good"/>
    <n v="136"/>
    <m/>
    <x v="714"/>
    <x v="714"/>
    <s v="Ridley Scott"/>
    <s v="Paramount Pictures/Scott Free Productions/Lucy Fisher/Douglas Wick Productions"/>
    <s v="PG-13"/>
    <s v="Kid"/>
  </r>
  <r>
    <s v="Spellbound"/>
    <x v="2"/>
    <s v="November"/>
    <x v="0"/>
    <n v="6.3"/>
    <s v="Don't Watch"/>
    <s v="Avg"/>
    <s v="Avg"/>
    <n v="162"/>
    <m/>
    <x v="365"/>
    <x v="365"/>
    <s v="Vicky Jenson"/>
    <s v="Netflix/Skydance Animation"/>
    <s v="PG-13"/>
    <s v="Kid"/>
  </r>
  <r>
    <s v="Armor"/>
    <x v="2"/>
    <s v="November"/>
    <x v="1"/>
    <n v="8.9"/>
    <s v="Watch"/>
    <s v="Best"/>
    <s v="Best"/>
    <n v="152"/>
    <m/>
    <x v="715"/>
    <x v="715"/>
    <s v="Justin Routt"/>
    <s v="Lionsgate/Grindstone Entertainment Group"/>
    <s v="PG-13"/>
    <s v="Kid"/>
  </r>
  <r>
    <s v="Out of My Mind"/>
    <x v="2"/>
    <s v="November"/>
    <x v="10"/>
    <n v="6.1"/>
    <s v="Don't Watch"/>
    <s v="Avg"/>
    <s v="Avg"/>
    <n v="100"/>
    <m/>
    <x v="716"/>
    <x v="716"/>
    <s v="Amber Sealey"/>
    <s v="Disney+/Big Beach/Participant"/>
    <s v="PG-13"/>
    <s v="Kid"/>
  </r>
  <r>
    <s v="Hemet, or the Landlady Don't Drink Tea"/>
    <x v="2"/>
    <s v="November"/>
    <x v="1"/>
    <n v="9.1"/>
    <s v="Watch"/>
    <s v="Best"/>
    <s v="Best"/>
    <n v="109"/>
    <m/>
    <x v="717"/>
    <x v="717"/>
    <s v="Tony Olmos"/>
    <s v="BayView Entertainment/Charybdis Pictures/Rosewood Five"/>
    <s v="PG-13"/>
    <s v="Kid"/>
  </r>
  <r>
    <s v="A Great Divide"/>
    <x v="2"/>
    <s v="November"/>
    <x v="8"/>
    <n v="7.5"/>
    <s v="Watch"/>
    <s v="Good"/>
    <s v="Good"/>
    <n v="114"/>
    <m/>
    <x v="718"/>
    <x v="718"/>
    <m/>
    <s v="Gravitas Ventures"/>
    <s v="R"/>
    <s v="Adult"/>
  </r>
  <r>
    <s v="Queer"/>
    <x v="2"/>
    <s v="November"/>
    <x v="2"/>
    <n v="9"/>
    <s v="Watch"/>
    <s v="Best"/>
    <s v="Best"/>
    <n v="153"/>
    <m/>
    <x v="98"/>
    <x v="98"/>
    <s v="Luca Guadagnino"/>
    <s v="A24/Fremantle/The Apartment Pictures/Frenesy Film Company"/>
    <s v="PG-13"/>
    <s v="Kid"/>
  </r>
  <r>
    <s v="Maria"/>
    <x v="2"/>
    <s v="November"/>
    <x v="1"/>
    <n v="6.6"/>
    <s v="Watch"/>
    <s v="Avg"/>
    <s v="Avg"/>
    <n v="129"/>
    <m/>
    <x v="719"/>
    <x v="719"/>
    <s v="Pablo Larraín"/>
    <s v="Netflix/Fremantle/The Apartment Pictures/FilmNation Entertainment"/>
    <s v="PG-13"/>
    <s v="Kid"/>
  </r>
  <r>
    <s v="Our Little Secret"/>
    <x v="2"/>
    <s v="November"/>
    <x v="1"/>
    <n v="6.4"/>
    <s v="Don't Watch"/>
    <s v="Avg"/>
    <s v="Avg"/>
    <n v="124"/>
    <m/>
    <x v="720"/>
    <x v="720"/>
    <s v="Stephen Herek"/>
    <s v="Netflix"/>
    <s v="PG-13"/>
    <s v="Kid"/>
  </r>
  <r>
    <s v="Joker: Folie à Deux"/>
    <x v="2"/>
    <s v="October"/>
    <x v="16"/>
    <n v="7.5"/>
    <s v="Watch"/>
    <s v="Good"/>
    <s v="Good"/>
    <n v="150"/>
    <m/>
    <x v="721"/>
    <x v="721"/>
    <m/>
    <s v="Warner Bros. Pictures/DC Entertainment"/>
    <s v="PG-13"/>
    <s v="Kid"/>
  </r>
  <r>
    <s v="Hellboy: The Crooked Man"/>
    <x v="2"/>
    <s v="October"/>
    <x v="1"/>
    <n v="8.3000000000000007"/>
    <s v="Watch"/>
    <s v="Good"/>
    <s v="Best"/>
    <n v="146"/>
    <m/>
    <x v="722"/>
    <x v="722"/>
    <m/>
    <s v="Ketchup Entertainment/Millennium Media/Dark Horse Entertainment"/>
    <s v="PG-13"/>
    <s v="Kid"/>
  </r>
  <r>
    <s v="Brothers"/>
    <x v="2"/>
    <s v="October"/>
    <x v="1"/>
    <n v="8.6999999999999993"/>
    <s v="Watch"/>
    <s v="Best"/>
    <s v="Best"/>
    <n v="105"/>
    <m/>
    <x v="723"/>
    <x v="723"/>
    <s v="Max Barbakow"/>
    <s v="Amazon MGM Studios/Legendary Entertainment"/>
    <s v="PG-13"/>
    <s v="Kid"/>
  </r>
  <r>
    <s v="To Fall in Love"/>
    <x v="2"/>
    <s v="October"/>
    <x v="6"/>
    <n v="7.9"/>
    <s v="Watch"/>
    <s v="Good"/>
    <s v="Good"/>
    <n v="109"/>
    <m/>
    <x v="337"/>
    <x v="337"/>
    <s v="Michael Lewis Foster"/>
    <s v="Gravitas Ventures"/>
    <s v="PG-13"/>
    <s v="Kid"/>
  </r>
  <r>
    <s v="Canary Black"/>
    <x v="2"/>
    <s v="October"/>
    <x v="8"/>
    <n v="6.4"/>
    <s v="Don't Watch"/>
    <s v="Avg"/>
    <s v="Avg"/>
    <n v="154"/>
    <m/>
    <x v="724"/>
    <x v="724"/>
    <s v="Pierre Morel"/>
    <s v="Amazon MGM Studios"/>
    <s v="R"/>
    <s v="Adult"/>
  </r>
  <r>
    <s v="Time Cut"/>
    <x v="2"/>
    <s v="October"/>
    <x v="1"/>
    <n v="7.6"/>
    <s v="Watch"/>
    <s v="Good"/>
    <s v="Good"/>
    <n v="145"/>
    <m/>
    <x v="725"/>
    <x v="725"/>
    <m/>
    <s v="Netflix"/>
    <s v="PG-13"/>
    <s v="Kid"/>
  </r>
  <r>
    <s v="Crackcoon"/>
    <x v="2"/>
    <s v="October"/>
    <x v="8"/>
    <n v="6.2"/>
    <s v="Don't Watch"/>
    <s v="Avg"/>
    <s v="Avg"/>
    <n v="104"/>
    <m/>
    <x v="726"/>
    <x v="726"/>
    <m/>
    <s v="Cineverse"/>
    <s v="R"/>
    <s v="Adult"/>
  </r>
  <r>
    <s v="Hold Your Breath"/>
    <x v="2"/>
    <s v="October"/>
    <x v="12"/>
    <n v="7"/>
    <s v="Watch"/>
    <s v="Avg"/>
    <s v="Good"/>
    <n v="148"/>
    <m/>
    <x v="505"/>
    <x v="505"/>
    <s v="Karrie Crouse, Will Joines"/>
    <s v="Hulu/Searchlight Pictures"/>
    <s v="PG-13"/>
    <s v="Kid"/>
  </r>
  <r>
    <s v="White Bird"/>
    <x v="2"/>
    <s v="October"/>
    <x v="7"/>
    <n v="7.7"/>
    <s v="Watch"/>
    <s v="Good"/>
    <s v="Good"/>
    <n v="119"/>
    <m/>
    <x v="727"/>
    <x v="727"/>
    <s v="Marc Forster"/>
    <s v="Lionsgate/Participant/Kingdom Story Company/Mandeville Films"/>
    <s v="R"/>
    <s v="Adult"/>
  </r>
  <r>
    <s v="Monster Summer"/>
    <x v="2"/>
    <s v="October"/>
    <x v="1"/>
    <n v="6.1"/>
    <s v="Don't Watch"/>
    <s v="Avg"/>
    <s v="Avg"/>
    <n v="148"/>
    <m/>
    <x v="728"/>
    <x v="728"/>
    <s v="David Henrie"/>
    <s v="Pastime Pictures"/>
    <s v="PG-13"/>
    <s v="Kid"/>
  </r>
  <r>
    <s v="The Problem with People"/>
    <x v="2"/>
    <s v="October"/>
    <x v="3"/>
    <n v="8.9"/>
    <s v="Watch"/>
    <s v="Best"/>
    <s v="Best"/>
    <n v="152"/>
    <m/>
    <x v="729"/>
    <x v="729"/>
    <s v="Chris Cottam"/>
    <s v="Quiver Distribution"/>
    <s v="PG-13"/>
    <s v="Kid"/>
  </r>
  <r>
    <s v="Piece by Piece"/>
    <x v="2"/>
    <s v="October"/>
    <x v="7"/>
    <n v="7.2"/>
    <s v="Watch"/>
    <s v="Good"/>
    <s v="Good"/>
    <n v="144"/>
    <m/>
    <x v="730"/>
    <x v="730"/>
    <m/>
    <s v="Focus Features/I Am Other/Tremolo Productions/The Lego Group"/>
    <s v="R"/>
    <s v="Adult"/>
  </r>
  <r>
    <s v="The Apprentice"/>
    <x v="2"/>
    <s v="October"/>
    <x v="18"/>
    <n v="7.4"/>
    <s v="Watch"/>
    <s v="Good"/>
    <s v="Good"/>
    <n v="95"/>
    <m/>
    <x v="731"/>
    <x v="731"/>
    <s v="Ali Abbasi"/>
    <s v="Briarcliff Entertainment/Scythia Films/Tailored Films"/>
    <s v="PG-13"/>
    <s v="Kid"/>
  </r>
  <r>
    <s v="The Silent Hour"/>
    <x v="2"/>
    <s v="October"/>
    <x v="18"/>
    <n v="7.5"/>
    <s v="Watch"/>
    <s v="Good"/>
    <s v="Good"/>
    <n v="129"/>
    <m/>
    <x v="510"/>
    <x v="510"/>
    <s v="Brad Anderson"/>
    <s v="Republic Pictures/AGC Studios"/>
    <s v="PG-13"/>
    <s v="Kid"/>
  </r>
  <r>
    <s v="Bad Genius"/>
    <x v="2"/>
    <s v="October"/>
    <x v="14"/>
    <n v="6.1"/>
    <s v="Don't Watch"/>
    <s v="Avg"/>
    <s v="Avg"/>
    <n v="103"/>
    <m/>
    <x v="254"/>
    <x v="254"/>
    <m/>
    <s v="Vertical"/>
    <s v="PG-13"/>
    <s v="Kid"/>
  </r>
  <r>
    <s v="Seven Cemeteries"/>
    <x v="2"/>
    <s v="October"/>
    <x v="2"/>
    <n v="6.2"/>
    <s v="Don't Watch"/>
    <s v="Avg"/>
    <s v="Avg"/>
    <n v="164"/>
    <m/>
    <x v="732"/>
    <x v="732"/>
    <s v="John Gulager"/>
    <s v="Quiver Distribution"/>
    <s v="PG-13"/>
    <s v="Kid"/>
  </r>
  <r>
    <s v="Woman of the Hour"/>
    <x v="2"/>
    <s v="October"/>
    <x v="1"/>
    <n v="7.8"/>
    <s v="Watch"/>
    <s v="Good"/>
    <s v="Good"/>
    <n v="147"/>
    <m/>
    <x v="479"/>
    <x v="479"/>
    <s v="Anna Kendrick"/>
    <s v="Netflix/AGC Studios/Vertigo Entertainment"/>
    <s v="PG-13"/>
    <s v="Kid"/>
  </r>
  <r>
    <s v="The Line"/>
    <x v="2"/>
    <s v="October"/>
    <x v="1"/>
    <n v="9.1"/>
    <s v="Watch"/>
    <s v="Best"/>
    <s v="Best"/>
    <n v="127"/>
    <m/>
    <x v="142"/>
    <x v="142"/>
    <m/>
    <s v="Utopia"/>
    <s v="PG-13"/>
    <s v="Kid"/>
  </r>
  <r>
    <s v="Conclave"/>
    <x v="2"/>
    <s v="October"/>
    <x v="2"/>
    <n v="9"/>
    <s v="Watch"/>
    <s v="Best"/>
    <s v="Best"/>
    <n v="150"/>
    <m/>
    <x v="733"/>
    <x v="733"/>
    <s v="Edward Berger"/>
    <s v="Focus Features/FilmNation Entertainment/Indian Paintbrush"/>
    <s v="PG-13"/>
    <s v="Kid"/>
  </r>
  <r>
    <s v="Don't Move"/>
    <x v="2"/>
    <s v="October"/>
    <x v="3"/>
    <n v="6.3"/>
    <s v="Don't Watch"/>
    <s v="Avg"/>
    <s v="Avg"/>
    <n v="147"/>
    <m/>
    <x v="734"/>
    <x v="734"/>
    <s v="Adam Schindler, Brian Netto"/>
    <s v="Netflix"/>
    <s v="PG-13"/>
    <s v="Kid"/>
  </r>
  <r>
    <s v="Magpie"/>
    <x v="2"/>
    <s v="October"/>
    <x v="1"/>
    <n v="7.2"/>
    <s v="Watch"/>
    <s v="Good"/>
    <s v="Good"/>
    <n v="159"/>
    <m/>
    <x v="423"/>
    <x v="423"/>
    <s v="Sam Yates"/>
    <s v="Shout! Studios"/>
    <s v="PG-13"/>
    <s v="Kid"/>
  </r>
  <r>
    <s v="1 Million Followers"/>
    <x v="2"/>
    <s v="October"/>
    <x v="1"/>
    <n v="8.3000000000000007"/>
    <s v="Watch"/>
    <s v="Good"/>
    <s v="Best"/>
    <n v="158"/>
    <m/>
    <x v="735"/>
    <x v="735"/>
    <s v="Harvey Lowry"/>
    <s v="Vertical"/>
    <s v="PG-13"/>
    <s v="Kid"/>
  </r>
  <r>
    <s v="Hangdog"/>
    <x v="2"/>
    <s v="October"/>
    <x v="1"/>
    <n v="7.4"/>
    <s v="Watch"/>
    <s v="Good"/>
    <s v="Good"/>
    <n v="110"/>
    <m/>
    <x v="668"/>
    <x v="668"/>
    <m/>
    <s v="Good Deed Entertainment"/>
    <s v="PG-13"/>
    <s v="Kid"/>
  </r>
  <r>
    <s v="Let's Start a Cult"/>
    <x v="2"/>
    <s v="October"/>
    <x v="12"/>
    <n v="6.1"/>
    <s v="Don't Watch"/>
    <s v="Avg"/>
    <s v="Avg"/>
    <n v="163"/>
    <m/>
    <x v="736"/>
    <x v="736"/>
    <m/>
    <s v="MPI Media Group"/>
    <s v="PG-13"/>
    <s v="Kid"/>
  </r>
  <r>
    <s v="Beetlejuice Beetlejuice"/>
    <x v="2"/>
    <s v="September"/>
    <x v="2"/>
    <n v="6.8"/>
    <s v="Watch"/>
    <s v="Avg"/>
    <s v="Avg"/>
    <n v="113"/>
    <m/>
    <x v="737"/>
    <x v="737"/>
    <s v="Tim Burton"/>
    <s v="Warner Bros. Pictures/Plan B Entertainment/Tim Burton Productions/The Geffen Company"/>
    <s v="PG-13"/>
    <s v="Kid"/>
  </r>
  <r>
    <s v="Transformers One"/>
    <x v="2"/>
    <s v="September"/>
    <x v="18"/>
    <n v="6.2"/>
    <s v="Don't Watch"/>
    <s v="Avg"/>
    <s v="Avg"/>
    <n v="122"/>
    <m/>
    <x v="738"/>
    <x v="738"/>
    <s v="Josh Cooley"/>
    <s v="Paramount Pictures/Hasbro Entertainment/New Republic Pictures/Di Bonaventura Pictures"/>
    <s v="PG-13"/>
    <s v="Kid"/>
  </r>
  <r>
    <s v="Kill 'Em All 2"/>
    <x v="2"/>
    <s v="September"/>
    <x v="5"/>
    <n v="8.8000000000000007"/>
    <s v="Watch"/>
    <s v="Best"/>
    <s v="Best"/>
    <n v="154"/>
    <m/>
    <x v="739"/>
    <x v="739"/>
    <s v="Valeri Milev"/>
    <s v="Destination Films"/>
    <s v="PG-13"/>
    <s v="Kid"/>
  </r>
  <r>
    <s v="Killer Heat"/>
    <x v="2"/>
    <s v="September"/>
    <x v="1"/>
    <n v="7.7"/>
    <s v="Watch"/>
    <s v="Good"/>
    <s v="Good"/>
    <n v="143"/>
    <m/>
    <x v="696"/>
    <x v="696"/>
    <s v="Philippe Lacôte"/>
    <s v="Amazon Prime Video"/>
    <s v="PG-13"/>
    <s v="Kid"/>
  </r>
  <r>
    <s v="A New York Story"/>
    <x v="2"/>
    <s v="September"/>
    <x v="8"/>
    <n v="7.7"/>
    <s v="Watch"/>
    <s v="Good"/>
    <s v="Good"/>
    <n v="164"/>
    <m/>
    <x v="740"/>
    <x v="740"/>
    <m/>
    <s v="Vertical"/>
    <s v="R"/>
    <s v="Adult"/>
  </r>
  <r>
    <s v="The Thicket"/>
    <x v="2"/>
    <s v="September"/>
    <x v="11"/>
    <n v="8.5"/>
    <s v="Watch"/>
    <s v="Good"/>
    <s v="Best"/>
    <n v="151"/>
    <m/>
    <x v="396"/>
    <x v="396"/>
    <s v="Elliott Lester"/>
    <s v="Samuel Goldwyn Films/Tubi Films"/>
    <s v="PG-13"/>
    <s v="Kid"/>
  </r>
  <r>
    <s v="I'll Be Right There"/>
    <x v="2"/>
    <s v="September"/>
    <x v="1"/>
    <n v="9.1999999999999993"/>
    <s v="Watch"/>
    <s v="Best"/>
    <s v="Best"/>
    <n v="119"/>
    <m/>
    <x v="741"/>
    <x v="741"/>
    <s v="Brendan Walsh"/>
    <s v="Brainstorm Media"/>
    <s v="PG-13"/>
    <s v="Kid"/>
  </r>
  <r>
    <s v="The Killer's Game"/>
    <x v="2"/>
    <s v="September"/>
    <x v="14"/>
    <n v="8.1999999999999993"/>
    <s v="Watch"/>
    <s v="Good"/>
    <s v="Best"/>
    <n v="160"/>
    <m/>
    <x v="552"/>
    <x v="552"/>
    <s v="J. J. Perry"/>
    <s v="Lionsgate"/>
    <s v="PG-13"/>
    <s v="Kid"/>
  </r>
  <r>
    <s v="Uglies"/>
    <x v="2"/>
    <s v="September"/>
    <x v="2"/>
    <n v="6.1"/>
    <s v="Don't Watch"/>
    <s v="Avg"/>
    <s v="Avg"/>
    <n v="106"/>
    <m/>
    <x v="742"/>
    <x v="742"/>
    <s v="McG"/>
    <s v="Netflix/Davis Entertainment/Anonymous Content"/>
    <s v="PG-13"/>
    <s v="Kid"/>
  </r>
  <r>
    <s v="Winner"/>
    <x v="2"/>
    <s v="September"/>
    <x v="11"/>
    <n v="7.1"/>
    <s v="Watch"/>
    <s v="Good"/>
    <s v="Good"/>
    <n v="116"/>
    <m/>
    <x v="743"/>
    <x v="743"/>
    <s v="Susanna Fogel"/>
    <s v="Vertical/Big Beach"/>
    <s v="PG-13"/>
    <s v="Kid"/>
  </r>
  <r>
    <s v="Here After"/>
    <x v="2"/>
    <s v="September"/>
    <x v="9"/>
    <n v="6.5"/>
    <s v="Don't Watch"/>
    <s v="Avg"/>
    <s v="Avg"/>
    <n v="107"/>
    <m/>
    <x v="744"/>
    <x v="744"/>
    <s v="Robert Salerno"/>
    <s v="Paramount Pictures"/>
    <s v="R"/>
    <s v="Adult"/>
  </r>
  <r>
    <s v="Subservience"/>
    <x v="2"/>
    <s v="September"/>
    <x v="17"/>
    <n v="7.9"/>
    <s v="Watch"/>
    <s v="Good"/>
    <s v="Good"/>
    <n v="151"/>
    <m/>
    <x v="502"/>
    <x v="502"/>
    <s v="S.K. Dale"/>
    <s v="XYZ Films/Millennium Media"/>
    <s v="PG-13"/>
    <s v="Kid"/>
  </r>
  <r>
    <s v="Never Let Go"/>
    <x v="2"/>
    <s v="September"/>
    <x v="1"/>
    <n v="6.6"/>
    <s v="Watch"/>
    <s v="Avg"/>
    <s v="Avg"/>
    <n v="90"/>
    <m/>
    <x v="618"/>
    <x v="618"/>
    <s v="Alexandre Aja"/>
    <s v="Lionsgate/Summit Entertainment/21 Laps Entertainment"/>
    <s v="PG-13"/>
    <s v="Kid"/>
  </r>
  <r>
    <s v="Bagman"/>
    <x v="2"/>
    <s v="September"/>
    <x v="1"/>
    <n v="9.1999999999999993"/>
    <s v="Watch"/>
    <s v="Best"/>
    <s v="Best"/>
    <n v="146"/>
    <m/>
    <x v="745"/>
    <x v="745"/>
    <s v="Colm McCarthy"/>
    <s v="Lionsgate/Temple Hill Entertainment"/>
    <s v="PG-13"/>
    <s v="Kid"/>
  </r>
  <r>
    <s v="The Featherweight"/>
    <x v="2"/>
    <s v="September"/>
    <x v="17"/>
    <n v="6"/>
    <s v="Don't Watch"/>
    <s v="Avg"/>
    <s v="Avg"/>
    <n v="111"/>
    <m/>
    <x v="746"/>
    <x v="746"/>
    <s v="Robert Kolodny"/>
    <s v="mTuckman Media /Appian Way Productions"/>
    <s v="PG-13"/>
    <s v="Kid"/>
  </r>
  <r>
    <s v="Paradox Effect"/>
    <x v="2"/>
    <s v="September"/>
    <x v="5"/>
    <n v="9.1"/>
    <s v="Watch"/>
    <s v="Best"/>
    <s v="Best"/>
    <n v="154"/>
    <m/>
    <x v="277"/>
    <x v="277"/>
    <s v="Scott Weintrob"/>
    <s v="Gravitas Ventures"/>
    <s v="PG-13"/>
    <s v="Kid"/>
  </r>
  <r>
    <s v="Saturday Night"/>
    <x v="2"/>
    <s v="September"/>
    <x v="1"/>
    <n v="6.8"/>
    <s v="Watch"/>
    <s v="Avg"/>
    <s v="Avg"/>
    <n v="122"/>
    <m/>
    <x v="110"/>
    <x v="110"/>
    <m/>
    <s v="Columbia Pictures"/>
    <s v="PG-13"/>
    <s v="Kid"/>
  </r>
  <r>
    <s v="Apartment 7A"/>
    <x v="2"/>
    <s v="September"/>
    <x v="1"/>
    <n v="7.4"/>
    <s v="Watch"/>
    <s v="Good"/>
    <s v="Good"/>
    <n v="131"/>
    <m/>
    <x v="747"/>
    <x v="747"/>
    <m/>
    <s v="Paramount+/Paramount Pictures/Paramount Players/Platinum Dunes/Sunday Night Productions"/>
    <s v="PG-13"/>
    <s v="Kid"/>
  </r>
  <r>
    <s v="Rez Ball"/>
    <x v="2"/>
    <s v="September"/>
    <x v="1"/>
    <n v="6.1"/>
    <s v="Don't Watch"/>
    <s v="Avg"/>
    <s v="Avg"/>
    <n v="130"/>
    <m/>
    <x v="20"/>
    <x v="20"/>
    <m/>
    <s v="Netflix/SpringHill Company/Chernin Entertainment/Lake Ellyn Entertainment"/>
    <s v="PG-13"/>
    <s v="Kid"/>
  </r>
  <r>
    <s v="The Curse of the Necklace"/>
    <x v="2"/>
    <s v="September"/>
    <x v="7"/>
    <n v="8.1999999999999993"/>
    <s v="Watch"/>
    <s v="Good"/>
    <s v="Best"/>
    <n v="94"/>
    <m/>
    <x v="748"/>
    <x v="748"/>
    <s v="Juan Pablo Arias Munoz"/>
    <s v="Warner Bros. Discovery Home Entertainment"/>
    <s v="R"/>
    <s v="Adult"/>
  </r>
  <r>
    <s v="Azrael"/>
    <x v="2"/>
    <s v="September"/>
    <x v="7"/>
    <n v="8.4"/>
    <s v="Watch"/>
    <s v="Good"/>
    <s v="Best"/>
    <n v="96"/>
    <m/>
    <x v="749"/>
    <x v="749"/>
    <s v="E. L. Katz"/>
    <s v="IFC Films/Shudder/Republic Pictures"/>
    <s v="R"/>
    <s v="Adult"/>
  </r>
  <r>
    <s v="She Taught Love"/>
    <x v="2"/>
    <s v="September"/>
    <x v="2"/>
    <n v="6.4"/>
    <s v="Don't Watch"/>
    <s v="Avg"/>
    <s v="Avg"/>
    <n v="118"/>
    <m/>
    <x v="750"/>
    <x v="750"/>
    <s v="Nate Edwards"/>
    <s v="Hulu/Andscape"/>
    <s v="PG-13"/>
    <s v="K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2135FD-66D1-4975-A233-D512F8AFCA0A}"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D13" firstHeaderRow="0" firstDataRow="1" firstDataCol="1"/>
  <pivotFields count="17">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dataField="1" showAll="0">
      <items count="752">
        <item x="283"/>
        <item x="288"/>
        <item x="569"/>
        <item x="574"/>
        <item x="15"/>
        <item x="382"/>
        <item x="501"/>
        <item x="108"/>
        <item x="195"/>
        <item x="610"/>
        <item x="315"/>
        <item x="651"/>
        <item x="471"/>
        <item x="598"/>
        <item x="393"/>
        <item x="82"/>
        <item x="157"/>
        <item x="25"/>
        <item x="695"/>
        <item x="46"/>
        <item x="322"/>
        <item x="42"/>
        <item x="512"/>
        <item x="690"/>
        <item x="22"/>
        <item x="116"/>
        <item x="28"/>
        <item x="719"/>
        <item x="113"/>
        <item x="240"/>
        <item x="298"/>
        <item x="578"/>
        <item x="693"/>
        <item x="487"/>
        <item x="52"/>
        <item x="316"/>
        <item x="694"/>
        <item x="715"/>
        <item x="98"/>
        <item x="194"/>
        <item x="444"/>
        <item x="235"/>
        <item x="475"/>
        <item x="224"/>
        <item x="239"/>
        <item x="347"/>
        <item x="317"/>
        <item x="93"/>
        <item x="504"/>
        <item x="745"/>
        <item x="398"/>
        <item x="571"/>
        <item x="423"/>
        <item x="243"/>
        <item x="62"/>
        <item x="442"/>
        <item x="468"/>
        <item x="478"/>
        <item x="641"/>
        <item x="400"/>
        <item x="368"/>
        <item x="86"/>
        <item x="292"/>
        <item x="742"/>
        <item x="269"/>
        <item x="19"/>
        <item x="550"/>
        <item x="518"/>
        <item x="440"/>
        <item x="561"/>
        <item x="279"/>
        <item x="743"/>
        <item x="354"/>
        <item x="390"/>
        <item x="268"/>
        <item x="387"/>
        <item x="247"/>
        <item x="709"/>
        <item x="49"/>
        <item x="521"/>
        <item x="143"/>
        <item x="533"/>
        <item x="528"/>
        <item x="459"/>
        <item x="77"/>
        <item x="7"/>
        <item x="668"/>
        <item x="543"/>
        <item x="299"/>
        <item x="437"/>
        <item x="672"/>
        <item x="414"/>
        <item x="486"/>
        <item x="495"/>
        <item x="142"/>
        <item x="89"/>
        <item x="20"/>
        <item x="229"/>
        <item x="557"/>
        <item x="589"/>
        <item x="198"/>
        <item x="489"/>
        <item x="96"/>
        <item x="4"/>
        <item x="210"/>
        <item x="544"/>
        <item x="118"/>
        <item x="242"/>
        <item x="725"/>
        <item x="564"/>
        <item x="64"/>
        <item x="600"/>
        <item x="408"/>
        <item x="179"/>
        <item x="473"/>
        <item x="66"/>
        <item x="462"/>
        <item x="23"/>
        <item x="580"/>
        <item x="547"/>
        <item x="67"/>
        <item x="410"/>
        <item x="411"/>
        <item x="537"/>
        <item x="326"/>
        <item x="245"/>
        <item x="133"/>
        <item x="44"/>
        <item x="488"/>
        <item x="356"/>
        <item x="165"/>
        <item x="355"/>
        <item x="733"/>
        <item x="596"/>
        <item x="74"/>
        <item x="313"/>
        <item x="560"/>
        <item x="331"/>
        <item x="76"/>
        <item x="639"/>
        <item x="567"/>
        <item x="101"/>
        <item x="350"/>
        <item x="310"/>
        <item x="417"/>
        <item x="577"/>
        <item x="640"/>
        <item x="484"/>
        <item x="493"/>
        <item x="216"/>
        <item x="249"/>
        <item x="469"/>
        <item x="614"/>
        <item x="723"/>
        <item x="558"/>
        <item x="257"/>
        <item x="95"/>
        <item x="197"/>
        <item x="134"/>
        <item x="629"/>
        <item x="734"/>
        <item x="270"/>
        <item x="599"/>
        <item x="36"/>
        <item x="404"/>
        <item x="109"/>
        <item x="392"/>
        <item x="218"/>
        <item x="201"/>
        <item x="254"/>
        <item x="705"/>
        <item x="527"/>
        <item x="540"/>
        <item x="91"/>
        <item x="603"/>
        <item x="276"/>
        <item x="81"/>
        <item x="221"/>
        <item x="586"/>
        <item x="207"/>
        <item x="358"/>
        <item x="314"/>
        <item x="222"/>
        <item x="271"/>
        <item x="178"/>
        <item x="107"/>
        <item x="139"/>
        <item x="461"/>
        <item x="181"/>
        <item x="169"/>
        <item x="119"/>
        <item x="17"/>
        <item x="71"/>
        <item x="266"/>
        <item x="196"/>
        <item x="18"/>
        <item x="671"/>
        <item x="171"/>
        <item x="470"/>
        <item x="280"/>
        <item x="154"/>
        <item x="353"/>
        <item x="480"/>
        <item x="188"/>
        <item x="413"/>
        <item x="141"/>
        <item x="346"/>
        <item x="460"/>
        <item x="220"/>
        <item x="701"/>
        <item x="153"/>
        <item x="697"/>
        <item x="450"/>
        <item x="211"/>
        <item x="176"/>
        <item x="209"/>
        <item x="582"/>
        <item x="443"/>
        <item x="217"/>
        <item x="187"/>
        <item x="163"/>
        <item x="30"/>
        <item x="696"/>
        <item x="388"/>
        <item x="140"/>
        <item x="554"/>
        <item x="339"/>
        <item x="357"/>
        <item x="396"/>
        <item x="290"/>
        <item x="739"/>
        <item x="273"/>
        <item x="376"/>
        <item x="10"/>
        <item x="514"/>
        <item x="498"/>
        <item x="31"/>
        <item x="319"/>
        <item x="365"/>
        <item x="262"/>
        <item x="306"/>
        <item x="618"/>
        <item x="106"/>
        <item x="497"/>
        <item x="406"/>
        <item x="710"/>
        <item x="407"/>
        <item x="149"/>
        <item x="647"/>
        <item x="236"/>
        <item x="233"/>
        <item x="33"/>
        <item x="212"/>
        <item x="115"/>
        <item x="301"/>
        <item x="320"/>
        <item x="747"/>
        <item x="490"/>
        <item x="329"/>
        <item x="146"/>
        <item x="434"/>
        <item x="43"/>
        <item x="297"/>
        <item x="630"/>
        <item x="432"/>
        <item x="530"/>
        <item x="372"/>
        <item x="351"/>
        <item x="228"/>
        <item x="556"/>
        <item x="688"/>
        <item x="112"/>
        <item x="102"/>
        <item x="84"/>
        <item x="463"/>
        <item x="223"/>
        <item x="309"/>
        <item x="92"/>
        <item x="507"/>
        <item x="138"/>
        <item x="619"/>
        <item x="708"/>
        <item x="674"/>
        <item x="675"/>
        <item x="152"/>
        <item x="39"/>
        <item x="164"/>
        <item x="531"/>
        <item x="707"/>
        <item x="79"/>
        <item x="148"/>
        <item x="24"/>
        <item x="374"/>
        <item x="172"/>
        <item x="379"/>
        <item x="348"/>
        <item x="401"/>
        <item x="573"/>
        <item x="529"/>
        <item x="716"/>
        <item x="405"/>
        <item x="384"/>
        <item x="657"/>
        <item x="609"/>
        <item x="132"/>
        <item x="349"/>
        <item x="545"/>
        <item x="604"/>
        <item x="234"/>
        <item x="606"/>
        <item x="622"/>
        <item x="378"/>
        <item x="477"/>
        <item x="87"/>
        <item x="335"/>
        <item x="673"/>
        <item x="182"/>
        <item x="120"/>
        <item x="367"/>
        <item x="476"/>
        <item x="61"/>
        <item x="159"/>
        <item x="502"/>
        <item x="449"/>
        <item x="562"/>
        <item x="568"/>
        <item x="373"/>
        <item x="174"/>
        <item x="258"/>
        <item x="41"/>
        <item x="385"/>
        <item x="104"/>
        <item x="35"/>
        <item x="464"/>
        <item x="185"/>
        <item x="676"/>
        <item x="305"/>
        <item x="304"/>
        <item x="465"/>
        <item x="337"/>
        <item x="94"/>
        <item x="121"/>
        <item x="147"/>
        <item x="430"/>
        <item x="546"/>
        <item x="655"/>
        <item x="156"/>
        <item x="184"/>
        <item x="277"/>
        <item x="340"/>
        <item x="51"/>
        <item x="588"/>
        <item x="14"/>
        <item x="519"/>
        <item x="341"/>
        <item x="613"/>
        <item x="731"/>
        <item x="56"/>
        <item x="620"/>
        <item x="9"/>
        <item x="492"/>
        <item x="150"/>
        <item x="467"/>
        <item x="29"/>
        <item x="53"/>
        <item x="48"/>
        <item x="750"/>
        <item x="327"/>
        <item x="601"/>
        <item x="168"/>
        <item x="110"/>
        <item x="422"/>
        <item x="612"/>
        <item x="510"/>
        <item x="27"/>
        <item x="542"/>
        <item x="439"/>
        <item x="419"/>
        <item x="362"/>
        <item x="483"/>
        <item x="294"/>
        <item x="658"/>
        <item x="728"/>
        <item x="2"/>
        <item x="361"/>
        <item x="520"/>
        <item x="272"/>
        <item x="286"/>
        <item x="653"/>
        <item x="204"/>
        <item x="559"/>
        <item x="284"/>
        <item x="307"/>
        <item x="336"/>
        <item x="637"/>
        <item x="227"/>
        <item x="549"/>
        <item x="605"/>
        <item x="452"/>
        <item x="144"/>
        <item x="594"/>
        <item x="6"/>
        <item x="261"/>
        <item x="166"/>
        <item x="420"/>
        <item x="505"/>
        <item x="428"/>
        <item x="684"/>
        <item x="552"/>
        <item x="161"/>
        <item x="180"/>
        <item x="38"/>
        <item x="40"/>
        <item x="263"/>
        <item x="415"/>
        <item x="333"/>
        <item x="256"/>
        <item x="244"/>
        <item x="670"/>
        <item x="669"/>
        <item x="648"/>
        <item x="8"/>
        <item x="1"/>
        <item x="173"/>
        <item x="479"/>
        <item x="626"/>
        <item x="282"/>
        <item x="391"/>
        <item x="137"/>
        <item x="597"/>
        <item x="736"/>
        <item x="732"/>
        <item x="375"/>
        <item x="100"/>
        <item x="183"/>
        <item x="572"/>
        <item x="524"/>
        <item x="642"/>
        <item x="303"/>
        <item x="12"/>
        <item x="583"/>
        <item x="741"/>
        <item x="738"/>
        <item x="720"/>
        <item x="652"/>
        <item x="370"/>
        <item x="123"/>
        <item x="275"/>
        <item x="186"/>
        <item x="575"/>
        <item x="47"/>
        <item x="193"/>
        <item x="75"/>
        <item x="447"/>
        <item x="643"/>
        <item x="506"/>
        <item x="158"/>
        <item x="667"/>
        <item x="692"/>
        <item x="534"/>
        <item x="746"/>
        <item x="445"/>
        <item x="69"/>
        <item x="590"/>
        <item x="332"/>
        <item x="402"/>
        <item x="122"/>
        <item x="312"/>
        <item x="225"/>
        <item x="26"/>
        <item x="587"/>
        <item x="433"/>
        <item x="453"/>
        <item x="160"/>
        <item x="689"/>
        <item x="259"/>
        <item x="55"/>
        <item x="200"/>
        <item x="591"/>
        <item x="308"/>
        <item x="252"/>
        <item x="399"/>
        <item x="645"/>
        <item x="151"/>
        <item x="80"/>
        <item x="644"/>
        <item x="416"/>
        <item x="60"/>
        <item x="576"/>
        <item x="129"/>
        <item x="296"/>
        <item x="293"/>
        <item x="721"/>
        <item x="522"/>
        <item x="253"/>
        <item x="735"/>
        <item x="371"/>
        <item x="248"/>
        <item x="70"/>
        <item x="703"/>
        <item x="638"/>
        <item x="566"/>
        <item x="265"/>
        <item x="454"/>
        <item x="441"/>
        <item x="90"/>
        <item x="509"/>
        <item x="691"/>
        <item x="324"/>
        <item x="213"/>
        <item x="429"/>
        <item x="611"/>
        <item x="364"/>
        <item x="680"/>
        <item x="515"/>
        <item x="328"/>
        <item x="425"/>
        <item x="617"/>
        <item x="167"/>
        <item x="451"/>
        <item x="274"/>
        <item x="114"/>
        <item x="50"/>
        <item x="481"/>
        <item x="238"/>
        <item x="602"/>
        <item x="59"/>
        <item x="466"/>
        <item x="103"/>
        <item x="699"/>
        <item x="162"/>
        <item x="511"/>
        <item x="595"/>
        <item x="255"/>
        <item x="438"/>
        <item x="474"/>
        <item x="369"/>
        <item x="88"/>
        <item x="127"/>
        <item x="682"/>
        <item x="448"/>
        <item x="615"/>
        <item x="628"/>
        <item x="291"/>
        <item x="338"/>
        <item x="664"/>
        <item x="687"/>
        <item x="722"/>
        <item x="729"/>
        <item x="300"/>
        <item x="632"/>
        <item x="192"/>
        <item x="683"/>
        <item x="278"/>
        <item x="155"/>
        <item x="685"/>
        <item x="302"/>
        <item x="737"/>
        <item x="206"/>
        <item x="700"/>
        <item x="555"/>
        <item x="105"/>
        <item x="54"/>
        <item x="246"/>
        <item x="455"/>
        <item x="285"/>
        <item x="627"/>
        <item x="83"/>
        <item x="202"/>
        <item x="592"/>
        <item x="516"/>
        <item x="395"/>
        <item x="0"/>
        <item x="472"/>
        <item x="551"/>
        <item x="295"/>
        <item x="435"/>
        <item x="97"/>
        <item x="494"/>
        <item x="621"/>
        <item x="409"/>
        <item x="241"/>
        <item x="633"/>
        <item x="536"/>
        <item x="381"/>
        <item x="412"/>
        <item x="267"/>
        <item x="359"/>
        <item x="503"/>
        <item x="403"/>
        <item x="431"/>
        <item x="662"/>
        <item x="5"/>
        <item x="508"/>
        <item x="344"/>
        <item x="383"/>
        <item x="663"/>
        <item x="711"/>
        <item x="99"/>
        <item x="681"/>
        <item x="345"/>
        <item x="635"/>
        <item x="678"/>
        <item x="386"/>
        <item x="330"/>
        <item x="458"/>
        <item x="538"/>
        <item x="565"/>
        <item x="717"/>
        <item x="68"/>
        <item x="3"/>
        <item x="625"/>
        <item x="539"/>
        <item x="231"/>
        <item x="136"/>
        <item x="421"/>
        <item x="334"/>
        <item x="553"/>
        <item x="579"/>
        <item x="581"/>
        <item x="698"/>
        <item x="289"/>
        <item x="13"/>
        <item x="287"/>
        <item x="636"/>
        <item x="189"/>
        <item x="634"/>
        <item x="175"/>
        <item x="230"/>
        <item x="666"/>
        <item x="702"/>
        <item x="749"/>
        <item x="563"/>
        <item x="170"/>
        <item x="424"/>
        <item x="191"/>
        <item x="63"/>
        <item x="177"/>
        <item x="389"/>
        <item x="366"/>
        <item x="436"/>
        <item x="251"/>
        <item x="78"/>
        <item x="608"/>
        <item x="45"/>
        <item x="34"/>
        <item x="57"/>
        <item x="318"/>
        <item x="260"/>
        <item x="525"/>
        <item x="360"/>
        <item x="726"/>
        <item x="744"/>
        <item x="665"/>
        <item x="727"/>
        <item x="712"/>
        <item x="219"/>
        <item x="659"/>
        <item x="342"/>
        <item x="570"/>
        <item x="281"/>
        <item x="208"/>
        <item x="513"/>
        <item x="677"/>
        <item x="650"/>
        <item x="541"/>
        <item x="649"/>
        <item x="517"/>
        <item x="250"/>
        <item x="226"/>
        <item x="190"/>
        <item x="482"/>
        <item x="724"/>
        <item x="418"/>
        <item x="584"/>
        <item x="111"/>
        <item x="718"/>
        <item x="352"/>
        <item x="135"/>
        <item x="11"/>
        <item x="363"/>
        <item x="730"/>
        <item x="145"/>
        <item x="73"/>
        <item x="264"/>
        <item x="232"/>
        <item x="548"/>
        <item x="427"/>
        <item x="485"/>
        <item x="679"/>
        <item x="686"/>
        <item x="740"/>
        <item x="237"/>
        <item x="311"/>
        <item x="593"/>
        <item x="130"/>
        <item x="199"/>
        <item x="535"/>
        <item x="496"/>
        <item x="607"/>
        <item x="397"/>
        <item x="16"/>
        <item x="491"/>
        <item x="205"/>
        <item x="21"/>
        <item x="623"/>
        <item x="426"/>
        <item x="661"/>
        <item x="32"/>
        <item x="203"/>
        <item x="526"/>
        <item x="616"/>
        <item x="117"/>
        <item x="321"/>
        <item x="85"/>
        <item x="748"/>
        <item x="499"/>
        <item x="215"/>
        <item x="660"/>
        <item x="323"/>
        <item x="37"/>
        <item x="380"/>
        <item x="343"/>
        <item x="500"/>
        <item x="713"/>
        <item x="523"/>
        <item x="72"/>
        <item x="532"/>
        <item x="654"/>
        <item x="446"/>
        <item x="214"/>
        <item x="394"/>
        <item x="124"/>
        <item x="706"/>
        <item x="704"/>
        <item x="457"/>
        <item x="646"/>
        <item x="126"/>
        <item x="714"/>
        <item x="656"/>
        <item x="624"/>
        <item x="456"/>
        <item x="65"/>
        <item x="325"/>
        <item x="58"/>
        <item x="585"/>
        <item x="631"/>
        <item x="377"/>
        <item x="131"/>
        <item x="128"/>
        <item x="125"/>
        <item t="default"/>
      </items>
    </pivotField>
    <pivotField dataField="1" showAll="0">
      <items count="752">
        <item x="421"/>
        <item x="698"/>
        <item x="289"/>
        <item x="13"/>
        <item x="287"/>
        <item x="636"/>
        <item x="189"/>
        <item x="175"/>
        <item x="230"/>
        <item x="666"/>
        <item x="702"/>
        <item x="749"/>
        <item x="170"/>
        <item x="424"/>
        <item x="191"/>
        <item x="63"/>
        <item x="177"/>
        <item x="389"/>
        <item x="366"/>
        <item x="436"/>
        <item x="251"/>
        <item x="78"/>
        <item x="608"/>
        <item x="34"/>
        <item x="57"/>
        <item x="318"/>
        <item x="260"/>
        <item x="525"/>
        <item x="360"/>
        <item x="726"/>
        <item x="744"/>
        <item x="665"/>
        <item x="727"/>
        <item x="712"/>
        <item x="219"/>
        <item x="659"/>
        <item x="342"/>
        <item x="570"/>
        <item x="281"/>
        <item x="208"/>
        <item x="513"/>
        <item x="677"/>
        <item x="650"/>
        <item x="541"/>
        <item x="649"/>
        <item x="517"/>
        <item x="250"/>
        <item x="226"/>
        <item x="190"/>
        <item x="482"/>
        <item x="724"/>
        <item x="418"/>
        <item x="584"/>
        <item x="111"/>
        <item x="718"/>
        <item x="352"/>
        <item x="135"/>
        <item x="11"/>
        <item x="363"/>
        <item x="730"/>
        <item x="145"/>
        <item x="73"/>
        <item x="264"/>
        <item x="232"/>
        <item x="548"/>
        <item x="485"/>
        <item x="679"/>
        <item x="686"/>
        <item x="740"/>
        <item x="237"/>
        <item x="311"/>
        <item x="593"/>
        <item x="130"/>
        <item x="199"/>
        <item x="535"/>
        <item x="496"/>
        <item x="607"/>
        <item x="397"/>
        <item x="16"/>
        <item x="491"/>
        <item x="205"/>
        <item x="21"/>
        <item x="623"/>
        <item x="426"/>
        <item x="661"/>
        <item x="32"/>
        <item x="203"/>
        <item x="526"/>
        <item x="616"/>
        <item x="117"/>
        <item x="321"/>
        <item x="85"/>
        <item x="748"/>
        <item x="499"/>
        <item x="215"/>
        <item x="660"/>
        <item x="323"/>
        <item x="37"/>
        <item x="380"/>
        <item x="343"/>
        <item x="500"/>
        <item x="713"/>
        <item x="283"/>
        <item x="288"/>
        <item x="569"/>
        <item x="574"/>
        <item x="15"/>
        <item x="382"/>
        <item x="501"/>
        <item x="108"/>
        <item x="195"/>
        <item x="610"/>
        <item x="315"/>
        <item x="651"/>
        <item x="471"/>
        <item x="598"/>
        <item x="393"/>
        <item x="82"/>
        <item x="157"/>
        <item x="25"/>
        <item x="695"/>
        <item x="46"/>
        <item x="322"/>
        <item x="42"/>
        <item x="512"/>
        <item x="690"/>
        <item x="22"/>
        <item x="116"/>
        <item x="28"/>
        <item x="719"/>
        <item x="113"/>
        <item x="240"/>
        <item x="298"/>
        <item x="578"/>
        <item x="693"/>
        <item x="487"/>
        <item x="52"/>
        <item x="316"/>
        <item x="694"/>
        <item x="715"/>
        <item x="98"/>
        <item x="194"/>
        <item x="444"/>
        <item x="235"/>
        <item x="475"/>
        <item x="224"/>
        <item x="239"/>
        <item x="347"/>
        <item x="317"/>
        <item x="93"/>
        <item x="504"/>
        <item x="745"/>
        <item x="398"/>
        <item x="571"/>
        <item x="423"/>
        <item x="243"/>
        <item x="62"/>
        <item x="442"/>
        <item x="468"/>
        <item x="478"/>
        <item x="641"/>
        <item x="400"/>
        <item x="368"/>
        <item x="86"/>
        <item x="292"/>
        <item x="742"/>
        <item x="269"/>
        <item x="19"/>
        <item x="550"/>
        <item x="518"/>
        <item x="440"/>
        <item x="561"/>
        <item x="279"/>
        <item x="743"/>
        <item x="354"/>
        <item x="390"/>
        <item x="268"/>
        <item x="387"/>
        <item x="247"/>
        <item x="709"/>
        <item x="49"/>
        <item x="521"/>
        <item x="143"/>
        <item x="533"/>
        <item x="528"/>
        <item x="459"/>
        <item x="77"/>
        <item x="7"/>
        <item x="668"/>
        <item x="543"/>
        <item x="299"/>
        <item x="437"/>
        <item x="672"/>
        <item x="414"/>
        <item x="486"/>
        <item x="495"/>
        <item x="142"/>
        <item x="89"/>
        <item x="20"/>
        <item x="229"/>
        <item x="557"/>
        <item x="589"/>
        <item x="198"/>
        <item x="489"/>
        <item x="96"/>
        <item x="4"/>
        <item x="210"/>
        <item x="544"/>
        <item x="118"/>
        <item x="242"/>
        <item x="725"/>
        <item x="564"/>
        <item x="64"/>
        <item x="600"/>
        <item x="408"/>
        <item x="179"/>
        <item x="473"/>
        <item x="66"/>
        <item x="462"/>
        <item x="23"/>
        <item x="580"/>
        <item x="547"/>
        <item x="67"/>
        <item x="410"/>
        <item x="411"/>
        <item x="537"/>
        <item x="326"/>
        <item x="245"/>
        <item x="133"/>
        <item x="44"/>
        <item x="488"/>
        <item x="356"/>
        <item x="165"/>
        <item x="355"/>
        <item x="733"/>
        <item x="596"/>
        <item x="74"/>
        <item x="313"/>
        <item x="560"/>
        <item x="331"/>
        <item x="76"/>
        <item x="639"/>
        <item x="567"/>
        <item x="101"/>
        <item x="350"/>
        <item x="310"/>
        <item x="417"/>
        <item x="577"/>
        <item x="640"/>
        <item x="484"/>
        <item x="493"/>
        <item x="216"/>
        <item x="249"/>
        <item x="469"/>
        <item x="614"/>
        <item x="723"/>
        <item x="558"/>
        <item x="257"/>
        <item x="95"/>
        <item x="197"/>
        <item x="134"/>
        <item x="629"/>
        <item x="734"/>
        <item x="270"/>
        <item x="599"/>
        <item x="36"/>
        <item x="404"/>
        <item x="109"/>
        <item x="392"/>
        <item x="218"/>
        <item x="201"/>
        <item x="254"/>
        <item x="705"/>
        <item x="527"/>
        <item x="540"/>
        <item x="91"/>
        <item x="603"/>
        <item x="276"/>
        <item x="81"/>
        <item x="221"/>
        <item x="586"/>
        <item x="207"/>
        <item x="358"/>
        <item x="314"/>
        <item x="222"/>
        <item x="271"/>
        <item x="178"/>
        <item x="107"/>
        <item x="139"/>
        <item x="461"/>
        <item x="181"/>
        <item x="169"/>
        <item x="119"/>
        <item x="17"/>
        <item x="71"/>
        <item x="266"/>
        <item x="196"/>
        <item x="18"/>
        <item x="671"/>
        <item x="171"/>
        <item x="470"/>
        <item x="280"/>
        <item x="154"/>
        <item x="353"/>
        <item x="480"/>
        <item x="188"/>
        <item x="413"/>
        <item x="141"/>
        <item x="346"/>
        <item x="460"/>
        <item x="220"/>
        <item x="701"/>
        <item x="153"/>
        <item x="697"/>
        <item x="450"/>
        <item x="211"/>
        <item x="176"/>
        <item x="209"/>
        <item x="582"/>
        <item x="443"/>
        <item x="217"/>
        <item x="187"/>
        <item x="163"/>
        <item x="30"/>
        <item x="696"/>
        <item x="388"/>
        <item x="140"/>
        <item x="554"/>
        <item x="339"/>
        <item x="357"/>
        <item x="396"/>
        <item x="290"/>
        <item x="739"/>
        <item x="273"/>
        <item x="376"/>
        <item x="10"/>
        <item x="514"/>
        <item x="498"/>
        <item x="31"/>
        <item x="319"/>
        <item x="365"/>
        <item x="262"/>
        <item x="306"/>
        <item x="618"/>
        <item x="106"/>
        <item x="497"/>
        <item x="406"/>
        <item x="710"/>
        <item x="407"/>
        <item x="149"/>
        <item x="647"/>
        <item x="236"/>
        <item x="233"/>
        <item x="33"/>
        <item x="212"/>
        <item x="115"/>
        <item x="301"/>
        <item x="320"/>
        <item x="747"/>
        <item x="490"/>
        <item x="329"/>
        <item x="146"/>
        <item x="434"/>
        <item x="43"/>
        <item x="297"/>
        <item x="630"/>
        <item x="432"/>
        <item x="530"/>
        <item x="372"/>
        <item x="351"/>
        <item x="228"/>
        <item x="556"/>
        <item x="688"/>
        <item x="112"/>
        <item x="102"/>
        <item x="84"/>
        <item x="463"/>
        <item x="223"/>
        <item x="309"/>
        <item x="92"/>
        <item x="507"/>
        <item x="138"/>
        <item x="619"/>
        <item x="708"/>
        <item x="674"/>
        <item x="675"/>
        <item x="152"/>
        <item x="39"/>
        <item x="164"/>
        <item x="531"/>
        <item x="707"/>
        <item x="79"/>
        <item x="148"/>
        <item x="24"/>
        <item x="374"/>
        <item x="172"/>
        <item x="379"/>
        <item x="348"/>
        <item x="401"/>
        <item x="573"/>
        <item x="529"/>
        <item x="716"/>
        <item x="405"/>
        <item x="384"/>
        <item x="657"/>
        <item x="609"/>
        <item x="132"/>
        <item x="349"/>
        <item x="545"/>
        <item x="604"/>
        <item x="234"/>
        <item x="606"/>
        <item x="622"/>
        <item x="378"/>
        <item x="477"/>
        <item x="87"/>
        <item x="335"/>
        <item x="673"/>
        <item x="182"/>
        <item x="120"/>
        <item x="367"/>
        <item x="476"/>
        <item x="61"/>
        <item x="159"/>
        <item x="502"/>
        <item x="449"/>
        <item x="562"/>
        <item x="568"/>
        <item x="373"/>
        <item x="174"/>
        <item x="258"/>
        <item x="41"/>
        <item x="385"/>
        <item x="104"/>
        <item x="35"/>
        <item x="464"/>
        <item x="185"/>
        <item x="676"/>
        <item x="305"/>
        <item x="304"/>
        <item x="465"/>
        <item x="337"/>
        <item x="94"/>
        <item x="121"/>
        <item x="147"/>
        <item x="430"/>
        <item x="546"/>
        <item x="655"/>
        <item x="156"/>
        <item x="184"/>
        <item x="277"/>
        <item x="340"/>
        <item x="51"/>
        <item x="588"/>
        <item x="14"/>
        <item x="519"/>
        <item x="341"/>
        <item x="613"/>
        <item x="731"/>
        <item x="56"/>
        <item x="620"/>
        <item x="9"/>
        <item x="492"/>
        <item x="150"/>
        <item x="467"/>
        <item x="29"/>
        <item x="53"/>
        <item x="48"/>
        <item x="750"/>
        <item x="327"/>
        <item x="601"/>
        <item x="168"/>
        <item x="110"/>
        <item x="422"/>
        <item x="612"/>
        <item x="510"/>
        <item x="27"/>
        <item x="542"/>
        <item x="439"/>
        <item x="419"/>
        <item x="362"/>
        <item x="483"/>
        <item x="294"/>
        <item x="658"/>
        <item x="728"/>
        <item x="2"/>
        <item x="361"/>
        <item x="520"/>
        <item x="272"/>
        <item x="286"/>
        <item x="653"/>
        <item x="204"/>
        <item x="559"/>
        <item x="284"/>
        <item x="307"/>
        <item x="336"/>
        <item x="637"/>
        <item x="227"/>
        <item x="549"/>
        <item x="605"/>
        <item x="452"/>
        <item x="144"/>
        <item x="594"/>
        <item x="6"/>
        <item x="261"/>
        <item x="166"/>
        <item x="420"/>
        <item x="505"/>
        <item x="428"/>
        <item x="684"/>
        <item x="552"/>
        <item x="161"/>
        <item x="180"/>
        <item x="38"/>
        <item x="40"/>
        <item x="263"/>
        <item x="415"/>
        <item x="333"/>
        <item x="256"/>
        <item x="244"/>
        <item x="670"/>
        <item x="669"/>
        <item x="648"/>
        <item x="8"/>
        <item x="1"/>
        <item x="173"/>
        <item x="479"/>
        <item x="626"/>
        <item x="282"/>
        <item x="391"/>
        <item x="137"/>
        <item x="597"/>
        <item x="736"/>
        <item x="732"/>
        <item x="375"/>
        <item x="100"/>
        <item x="183"/>
        <item x="572"/>
        <item x="524"/>
        <item x="642"/>
        <item x="303"/>
        <item x="12"/>
        <item x="583"/>
        <item x="741"/>
        <item x="738"/>
        <item x="720"/>
        <item x="652"/>
        <item x="370"/>
        <item x="123"/>
        <item x="275"/>
        <item x="186"/>
        <item x="575"/>
        <item x="47"/>
        <item x="193"/>
        <item x="75"/>
        <item x="447"/>
        <item x="643"/>
        <item x="506"/>
        <item x="158"/>
        <item x="667"/>
        <item x="692"/>
        <item x="534"/>
        <item x="746"/>
        <item x="445"/>
        <item x="69"/>
        <item x="590"/>
        <item x="332"/>
        <item x="402"/>
        <item x="122"/>
        <item x="312"/>
        <item x="225"/>
        <item x="26"/>
        <item x="587"/>
        <item x="433"/>
        <item x="453"/>
        <item x="160"/>
        <item x="689"/>
        <item x="259"/>
        <item x="55"/>
        <item x="200"/>
        <item x="591"/>
        <item x="308"/>
        <item x="252"/>
        <item x="399"/>
        <item x="645"/>
        <item x="151"/>
        <item x="80"/>
        <item x="644"/>
        <item x="416"/>
        <item x="60"/>
        <item x="576"/>
        <item x="129"/>
        <item x="296"/>
        <item x="293"/>
        <item x="721"/>
        <item x="522"/>
        <item x="253"/>
        <item x="735"/>
        <item x="371"/>
        <item x="248"/>
        <item x="70"/>
        <item x="703"/>
        <item x="638"/>
        <item x="566"/>
        <item x="265"/>
        <item x="454"/>
        <item x="441"/>
        <item x="90"/>
        <item x="509"/>
        <item x="691"/>
        <item x="324"/>
        <item x="213"/>
        <item x="429"/>
        <item x="611"/>
        <item x="364"/>
        <item x="680"/>
        <item x="515"/>
        <item x="328"/>
        <item x="425"/>
        <item x="617"/>
        <item x="167"/>
        <item x="451"/>
        <item x="274"/>
        <item x="114"/>
        <item x="50"/>
        <item x="481"/>
        <item x="238"/>
        <item x="602"/>
        <item x="59"/>
        <item x="466"/>
        <item x="103"/>
        <item x="699"/>
        <item x="162"/>
        <item x="511"/>
        <item x="595"/>
        <item x="255"/>
        <item x="438"/>
        <item x="474"/>
        <item x="369"/>
        <item x="88"/>
        <item x="127"/>
        <item x="682"/>
        <item x="448"/>
        <item x="615"/>
        <item x="628"/>
        <item x="291"/>
        <item x="338"/>
        <item x="664"/>
        <item x="687"/>
        <item x="722"/>
        <item x="729"/>
        <item x="300"/>
        <item x="632"/>
        <item x="192"/>
        <item x="683"/>
        <item x="278"/>
        <item x="155"/>
        <item x="685"/>
        <item x="302"/>
        <item x="737"/>
        <item x="206"/>
        <item x="700"/>
        <item x="555"/>
        <item x="105"/>
        <item x="54"/>
        <item x="246"/>
        <item x="455"/>
        <item x="285"/>
        <item x="627"/>
        <item x="83"/>
        <item x="202"/>
        <item x="592"/>
        <item x="516"/>
        <item x="395"/>
        <item x="0"/>
        <item x="472"/>
        <item x="551"/>
        <item x="295"/>
        <item x="435"/>
        <item x="97"/>
        <item x="494"/>
        <item x="621"/>
        <item x="409"/>
        <item x="241"/>
        <item x="633"/>
        <item x="536"/>
        <item x="381"/>
        <item x="412"/>
        <item x="267"/>
        <item x="359"/>
        <item x="503"/>
        <item x="403"/>
        <item x="431"/>
        <item x="662"/>
        <item x="5"/>
        <item x="508"/>
        <item x="344"/>
        <item x="383"/>
        <item x="663"/>
        <item x="711"/>
        <item x="99"/>
        <item x="681"/>
        <item x="345"/>
        <item x="635"/>
        <item x="678"/>
        <item x="386"/>
        <item x="330"/>
        <item x="458"/>
        <item x="538"/>
        <item x="565"/>
        <item x="717"/>
        <item x="68"/>
        <item x="3"/>
        <item x="625"/>
        <item x="539"/>
        <item x="231"/>
        <item x="136"/>
        <item x="334"/>
        <item x="553"/>
        <item x="579"/>
        <item x="581"/>
        <item x="634"/>
        <item x="563"/>
        <item x="45"/>
        <item x="427"/>
        <item x="523"/>
        <item x="72"/>
        <item x="532"/>
        <item x="654"/>
        <item x="446"/>
        <item x="214"/>
        <item x="394"/>
        <item x="124"/>
        <item x="706"/>
        <item x="704"/>
        <item x="457"/>
        <item x="646"/>
        <item x="126"/>
        <item x="714"/>
        <item x="656"/>
        <item x="624"/>
        <item x="456"/>
        <item x="65"/>
        <item x="325"/>
        <item x="58"/>
        <item x="585"/>
        <item x="631"/>
        <item x="377"/>
        <item x="131"/>
        <item x="128"/>
        <item x="125"/>
        <item t="default"/>
      </items>
    </pivotField>
    <pivotField showAll="0"/>
    <pivotField showAll="0"/>
    <pivotField showAll="0"/>
    <pivotField showAll="0"/>
    <pivotField dataField="1" dragToRow="0" dragToCol="0" dragToPage="0" showAll="0" defaultSubtotal="0"/>
  </pivotFields>
  <rowFields count="1">
    <field x="1"/>
  </rowFields>
  <rowItems count="4">
    <i>
      <x/>
    </i>
    <i>
      <x v="1"/>
    </i>
    <i>
      <x v="2"/>
    </i>
    <i t="grand">
      <x/>
    </i>
  </rowItems>
  <colFields count="1">
    <field x="-2"/>
  </colFields>
  <colItems count="3">
    <i>
      <x/>
    </i>
    <i i="1">
      <x v="1"/>
    </i>
    <i i="2">
      <x v="2"/>
    </i>
  </colItems>
  <dataFields count="3">
    <dataField name="Total Budget" fld="11" baseField="1" baseItem="0" numFmtId="164"/>
    <dataField name="Total Revenue" fld="10" baseField="1" baseItem="0" numFmtId="164"/>
    <dataField name="Net Profit" fld="16" baseField="1" baseItem="0" numFmtId="164"/>
  </dataFields>
  <formats count="4">
    <format dxfId="11">
      <pivotArea outline="0" collapsedLevelsAreSubtotals="1" fieldPosition="0">
        <references count="1">
          <reference field="4294967294" count="1" selected="0">
            <x v="0"/>
          </reference>
        </references>
      </pivotArea>
    </format>
    <format dxfId="10">
      <pivotArea dataOnly="0" labelOnly="1" outline="0" fieldPosition="0">
        <references count="1">
          <reference field="4294967294" count="1">
            <x v="0"/>
          </reference>
        </references>
      </pivotArea>
    </format>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76B14375-5DE5-46CE-B2F6-6D87BFEF0116}" sourceName="Release_Year">
  <pivotTables>
    <pivotTable tabId="5" name="PivotTable1"/>
  </pivotTables>
  <data>
    <tabular pivotCacheId="19303475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_Year" xr10:uid="{C9ACB96F-89FD-42B9-AFE6-01F3AD8B23C9}" cache="Slicer_Release_Year" caption="Release_Year"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BBFB9-324E-4381-A396-15F8FAE46BF9}" name="Table1" displayName="Table1" ref="A1:Q917" totalsRowShown="0" headerRowDxfId="13" headerRowCellStyle="Heading 1">
  <autoFilter ref="A1:Q917" xr:uid="{F1BBBFB9-324E-4381-A396-15F8FAE46BF9}"/>
  <sortState xmlns:xlrd2="http://schemas.microsoft.com/office/spreadsheetml/2017/richdata2" ref="A2:P917">
    <sortCondition descending="1" ref="B1:B917"/>
  </sortState>
  <tableColumns count="17">
    <tableColumn id="1" xr3:uid="{0393CE30-2970-415C-9C80-F0BE78FE3E30}" name="Title"/>
    <tableColumn id="2" xr3:uid="{99C959E8-026C-46A7-8589-4448F790D416}" name="Release_Year"/>
    <tableColumn id="3" xr3:uid="{4AC9627E-4FDA-496C-ACF6-7B7CFAA2DBEA}" name="Release_Month" dataDxfId="31"/>
    <tableColumn id="5" xr3:uid="{5D843B0F-A2C7-494F-9967-929C7CEF0EFB}" name="Genres"/>
    <tableColumn id="6" xr3:uid="{984A3102-329A-4D7E-892C-B1629F434381}" name="IMDb_Rating" dataDxfId="30"/>
    <tableColumn id="15" xr3:uid="{F4A6DF00-C3CE-4C95-978A-D9FDC3351FBB}" name="Watch_Recommended" dataDxfId="29">
      <calculatedColumnFormula>IF(E2&gt;6.5,"Watch","Don't Watch")</calculatedColumnFormula>
    </tableColumn>
    <tableColumn id="7" xr3:uid="{D524FCC0-7907-48E7-BBCF-AC07A94421D5}" name="Rating_Category" dataDxfId="28">
      <calculatedColumnFormula>IF(E2&gt;8.5,"Best",IF(E2&gt;7,"Good",IF(E2&gt;5,"Avg",IF(E2&lt;5,"Below Avg",IF(E2&lt;3,"Bad",)))))</calculatedColumnFormula>
    </tableColumn>
    <tableColumn id="16" xr3:uid="{1CBF2C69-5E6E-43E0-BD87-63C38197EEE7}" name="Rating_Category_Ifs" dataDxfId="27">
      <calculatedColumnFormula array="1">_xlfn.IFS(E2&gt;8,"Best",E2=7,"Good",E2&gt;7,"Good",E2&lt;7,"Avg",E2&lt;6,"Below Avg")</calculatedColumnFormula>
    </tableColumn>
    <tableColumn id="8" xr3:uid="{23D5C3BA-FA0A-49E7-B49C-B671809948CA}" name="Runtime_Minutes"/>
    <tableColumn id="14" xr3:uid="{2C3D31AD-C673-46BD-AB3F-2CFEC471CB61}" name="Avg Run Time"/>
    <tableColumn id="9" xr3:uid="{FEE1B722-E1ED-4131-8E7B-039E8C5FFF4E}" name="Total Revenue" dataDxfId="26"/>
    <tableColumn id="10" xr3:uid="{FC279C3A-97D0-4F27-99E3-0BEF7C33CED1}" name="Total Budget" dataDxfId="25"/>
    <tableColumn id="4" xr3:uid="{0E06E1E2-7C25-41BB-8714-4DF95800F066}" name="Profit" dataDxfId="12">
      <calculatedColumnFormula xml:space="preserve"> (K2-L2)</calculatedColumnFormula>
    </tableColumn>
    <tableColumn id="11" xr3:uid="{6431F839-498E-4B70-AD29-EE741D14681E}" name="Director"/>
    <tableColumn id="12" xr3:uid="{CF984F1A-A995-4049-98FB-7EED691F4A5E}" name="Production_Company"/>
    <tableColumn id="13" xr3:uid="{A2C14CE7-996E-428B-A85F-9F6ECDD3D367}" name="Content_Rating"/>
    <tableColumn id="17" xr3:uid="{6F704327-6193-4D8C-92BC-E8F53680B5BB}" name="Target_audience" dataDxfId="24">
      <calculatedColumnFormula>IF(P2="R","Adult","Kid")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4B8C79-B0E2-4304-B30D-114B4ADDB916}" name="Table2" displayName="Table2" ref="D919:L924" totalsRowShown="0" headerRowDxfId="23" dataDxfId="22">
  <autoFilter ref="D919:L924" xr:uid="{B24B8C79-B0E2-4304-B30D-114B4ADDB916}"/>
  <tableColumns count="9">
    <tableColumn id="1" xr3:uid="{95300945-DBEB-4E63-9A92-E4FD60AAD4F8}" name="Functios"/>
    <tableColumn id="2" xr3:uid="{BB70D2DA-BC37-4365-A4F3-65D69C3BDBBC}" name="Value" dataDxfId="21"/>
    <tableColumn id="3" xr3:uid="{5335C229-8EE2-4B90-86C5-A662C5124C8E}" name="Column3" dataDxfId="20"/>
    <tableColumn id="4" xr3:uid="{8D792BAE-3CB5-4626-AF3D-10C12C816ABE}" name="Column4" dataDxfId="19"/>
    <tableColumn id="5" xr3:uid="{98548816-D0C3-43A5-91BB-A0A105C123C8}" name="Column5" dataDxfId="18"/>
    <tableColumn id="6" xr3:uid="{CD9FEFF4-15FE-4AF5-B395-02F975FC4624}" name="Value2" dataDxfId="17"/>
    <tableColumn id="7" xr3:uid="{74DA6344-D56B-469D-934B-728574D7098A}" name="Value3" dataDxfId="16"/>
    <tableColumn id="8" xr3:uid="{CE92DB1F-E9C3-4FAE-A120-2E0AC6397C0C}" name="Value4" dataDxfId="15"/>
    <tableColumn id="9" xr3:uid="{4B249F88-51EE-4C20-AA6B-2C1A52836A7C}" name="Value5" dataDxfId="14"/>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1962-CC93-4619-BF99-22FBF1311862}">
  <dimension ref="A1:T924"/>
  <sheetViews>
    <sheetView topLeftCell="H1" zoomScaleNormal="100" workbookViewId="0">
      <pane ySplit="1" topLeftCell="A2" activePane="bottomLeft" state="frozen"/>
      <selection pane="bottomLeft" activeCell="M3" sqref="M3"/>
    </sheetView>
  </sheetViews>
  <sheetFormatPr defaultRowHeight="14.4" x14ac:dyDescent="0.3"/>
  <cols>
    <col min="1" max="1" width="26.6640625" customWidth="1"/>
    <col min="2" max="2" width="20.44140625" bestFit="1" customWidth="1"/>
    <col min="3" max="3" width="23.5546875" style="5" bestFit="1" customWidth="1"/>
    <col min="4" max="4" width="31.109375" bestFit="1" customWidth="1"/>
    <col min="5" max="5" width="26.88671875" style="4" bestFit="1" customWidth="1"/>
    <col min="6" max="6" width="29.88671875" bestFit="1" customWidth="1"/>
    <col min="7" max="7" width="22.6640625" bestFit="1" customWidth="1"/>
    <col min="8" max="8" width="26.88671875" bestFit="1" customWidth="1"/>
    <col min="9" max="9" width="26.33203125" bestFit="1" customWidth="1"/>
    <col min="10" max="10" width="26.33203125" customWidth="1"/>
    <col min="11" max="11" width="33.109375" style="3" bestFit="1" customWidth="1"/>
    <col min="12" max="12" width="20.88671875" style="3" bestFit="1" customWidth="1"/>
    <col min="13" max="13" width="20.88671875" style="3" customWidth="1"/>
    <col min="14" max="14" width="42.21875" bestFit="1" customWidth="1"/>
    <col min="15" max="15" width="95.44140625" customWidth="1"/>
    <col min="16" max="16" width="23.5546875" bestFit="1" customWidth="1"/>
    <col min="17" max="17" width="22.77734375" bestFit="1" customWidth="1"/>
  </cols>
  <sheetData>
    <row r="1" spans="1:17" s="14" customFormat="1" ht="20.399999999999999" thickBot="1" x14ac:dyDescent="0.45">
      <c r="A1" s="8" t="s">
        <v>2161</v>
      </c>
      <c r="B1" s="8" t="s">
        <v>2162</v>
      </c>
      <c r="C1" s="9" t="s">
        <v>2163</v>
      </c>
      <c r="D1" s="8" t="s">
        <v>2164</v>
      </c>
      <c r="E1" s="10" t="s">
        <v>2187</v>
      </c>
      <c r="F1" s="8" t="s">
        <v>2188</v>
      </c>
      <c r="G1" s="8" t="s">
        <v>2189</v>
      </c>
      <c r="H1" s="11" t="s">
        <v>2190</v>
      </c>
      <c r="I1" s="8" t="s">
        <v>2165</v>
      </c>
      <c r="J1" s="8" t="s">
        <v>2169</v>
      </c>
      <c r="K1" s="12" t="s">
        <v>2192</v>
      </c>
      <c r="L1" s="12" t="s">
        <v>2186</v>
      </c>
      <c r="M1" s="12" t="s">
        <v>2193</v>
      </c>
      <c r="N1" s="8" t="s">
        <v>2166</v>
      </c>
      <c r="O1" s="8" t="s">
        <v>2167</v>
      </c>
      <c r="P1" s="8" t="s">
        <v>2168</v>
      </c>
      <c r="Q1" s="13" t="s">
        <v>2191</v>
      </c>
    </row>
    <row r="2" spans="1:17" ht="15" thickTop="1" x14ac:dyDescent="0.3">
      <c r="A2" t="s">
        <v>1679</v>
      </c>
      <c r="B2">
        <v>2026</v>
      </c>
      <c r="C2" s="5" t="s">
        <v>240</v>
      </c>
      <c r="D2" t="s">
        <v>93</v>
      </c>
      <c r="E2" s="4">
        <v>7.3</v>
      </c>
      <c r="F2" t="str">
        <f t="shared" ref="F2:F65" si="0">IF(E2&gt;6.5,"Watch","Don't Watch")</f>
        <v>Watch</v>
      </c>
      <c r="G2" t="str">
        <f t="shared" ref="G2:G65" si="1">IF(E2&gt;8.5,"Best",IF(E2&gt;7,"Good",IF(E2&gt;5,"Avg",IF(E2&lt;5,"Below Avg",IF(E2&lt;3,"Bad",)))))</f>
        <v>Good</v>
      </c>
      <c r="H2" t="str" cm="1">
        <f t="array" ref="H2">_xlfn.IFS(E2&gt;8,"Best",E2=7,"Good",E2&gt;7,"Good",E2&lt;7,"Avg",E2&lt;6,"Below Avg")</f>
        <v>Good</v>
      </c>
      <c r="I2">
        <v>115</v>
      </c>
      <c r="K2" s="3">
        <v>33331800</v>
      </c>
      <c r="L2" s="3">
        <v>25221200</v>
      </c>
      <c r="M2" s="3">
        <f t="shared" ref="M2:M65" si="2" xml:space="preserve"> (K2-L2)</f>
        <v>8110600</v>
      </c>
      <c r="N2" t="s">
        <v>1680</v>
      </c>
      <c r="O2" t="s">
        <v>1681</v>
      </c>
      <c r="P2" t="s">
        <v>11</v>
      </c>
      <c r="Q2" t="str">
        <f t="shared" ref="Q2:Q65" si="3">IF(P2="R","Adult","Kid")</f>
        <v>Kid</v>
      </c>
    </row>
    <row r="3" spans="1:17" x14ac:dyDescent="0.3">
      <c r="A3" t="s">
        <v>1687</v>
      </c>
      <c r="B3">
        <v>2026</v>
      </c>
      <c r="C3" s="5" t="s">
        <v>240</v>
      </c>
      <c r="D3" t="s">
        <v>8</v>
      </c>
      <c r="E3" s="4">
        <v>7.5</v>
      </c>
      <c r="F3" t="str">
        <f t="shared" si="0"/>
        <v>Watch</v>
      </c>
      <c r="G3" t="str">
        <f t="shared" si="1"/>
        <v>Good</v>
      </c>
      <c r="H3" t="str" cm="1">
        <f t="array" ref="H3">_xlfn.IFS(E3&gt;8,"Best",E3=7,"Good",E3&gt;7,"Good",E3&lt;7,"Avg",E3&lt;6,"Below Avg")</f>
        <v>Good</v>
      </c>
      <c r="I3">
        <v>144</v>
      </c>
      <c r="K3" s="3">
        <v>29928807</v>
      </c>
      <c r="L3" s="3">
        <v>22952538</v>
      </c>
      <c r="M3" s="3">
        <f t="shared" si="2"/>
        <v>6976269</v>
      </c>
      <c r="N3" t="s">
        <v>1688</v>
      </c>
      <c r="O3" t="s">
        <v>1689</v>
      </c>
      <c r="P3" t="s">
        <v>11</v>
      </c>
      <c r="Q3" t="str">
        <f t="shared" si="3"/>
        <v>Kid</v>
      </c>
    </row>
    <row r="4" spans="1:17" x14ac:dyDescent="0.3">
      <c r="A4" t="s">
        <v>1690</v>
      </c>
      <c r="B4">
        <v>2026</v>
      </c>
      <c r="C4" s="5" t="s">
        <v>240</v>
      </c>
      <c r="D4" t="s">
        <v>8</v>
      </c>
      <c r="E4" s="4">
        <v>7</v>
      </c>
      <c r="F4" t="str">
        <f t="shared" si="0"/>
        <v>Watch</v>
      </c>
      <c r="G4" t="str">
        <f t="shared" si="1"/>
        <v>Avg</v>
      </c>
      <c r="H4" t="str" cm="1">
        <f t="array" ref="H4">_xlfn.IFS(E4&gt;8,"Best",E4=7,"Good",E4&gt;7,"Good",E4&lt;7,"Avg",E4&lt;6,"Below Avg")</f>
        <v>Good</v>
      </c>
      <c r="I4">
        <v>157</v>
      </c>
      <c r="K4" s="3">
        <v>29472186</v>
      </c>
      <c r="L4" s="3">
        <v>22648124</v>
      </c>
      <c r="M4" s="3">
        <f t="shared" si="2"/>
        <v>6824062</v>
      </c>
      <c r="N4" t="s">
        <v>1691</v>
      </c>
      <c r="O4" t="s">
        <v>1692</v>
      </c>
      <c r="P4" t="s">
        <v>11</v>
      </c>
      <c r="Q4" t="str">
        <f t="shared" si="3"/>
        <v>Kid</v>
      </c>
    </row>
    <row r="5" spans="1:17" x14ac:dyDescent="0.3">
      <c r="A5" t="s">
        <v>1703</v>
      </c>
      <c r="B5">
        <v>2026</v>
      </c>
      <c r="C5" s="5" t="s">
        <v>240</v>
      </c>
      <c r="D5" t="s">
        <v>27</v>
      </c>
      <c r="E5" s="4">
        <v>7.9</v>
      </c>
      <c r="F5" t="str">
        <f t="shared" si="0"/>
        <v>Watch</v>
      </c>
      <c r="G5" t="str">
        <f t="shared" si="1"/>
        <v>Good</v>
      </c>
      <c r="H5" t="str" cm="1">
        <f t="array" ref="H5">_xlfn.IFS(E5&gt;8,"Best",E5=7,"Good",E5&gt;7,"Good",E5&lt;7,"Avg",E5&lt;6,"Below Avg")</f>
        <v>Good</v>
      </c>
      <c r="I5">
        <v>154</v>
      </c>
      <c r="K5" s="3">
        <v>36211512</v>
      </c>
      <c r="L5" s="3">
        <v>27141008</v>
      </c>
      <c r="M5" s="3">
        <f t="shared" si="2"/>
        <v>9070504</v>
      </c>
      <c r="N5" t="s">
        <v>1704</v>
      </c>
      <c r="O5" t="s">
        <v>413</v>
      </c>
      <c r="P5" t="s">
        <v>11</v>
      </c>
      <c r="Q5" t="str">
        <f t="shared" si="3"/>
        <v>Kid</v>
      </c>
    </row>
    <row r="6" spans="1:17" x14ac:dyDescent="0.3">
      <c r="A6" t="s">
        <v>1711</v>
      </c>
      <c r="B6">
        <v>2026</v>
      </c>
      <c r="C6" s="5" t="s">
        <v>240</v>
      </c>
      <c r="D6" t="s">
        <v>23</v>
      </c>
      <c r="E6" s="4">
        <v>7</v>
      </c>
      <c r="F6" t="str">
        <f t="shared" si="0"/>
        <v>Watch</v>
      </c>
      <c r="G6" t="str">
        <f t="shared" si="1"/>
        <v>Avg</v>
      </c>
      <c r="H6" t="str" cm="1">
        <f t="array" ref="H6">_xlfn.IFS(E6&gt;8,"Best",E6=7,"Good",E6&gt;7,"Good",E6&lt;7,"Avg",E6&lt;6,"Below Avg")</f>
        <v>Good</v>
      </c>
      <c r="I6">
        <v>139</v>
      </c>
      <c r="K6" s="3">
        <v>27162417</v>
      </c>
      <c r="L6" s="3">
        <v>21108278</v>
      </c>
      <c r="M6" s="3">
        <f t="shared" si="2"/>
        <v>6054139</v>
      </c>
      <c r="N6" t="s">
        <v>1712</v>
      </c>
      <c r="O6" t="s">
        <v>1713</v>
      </c>
      <c r="P6" t="s">
        <v>11</v>
      </c>
      <c r="Q6" t="str">
        <f t="shared" si="3"/>
        <v>Kid</v>
      </c>
    </row>
    <row r="7" spans="1:17" x14ac:dyDescent="0.3">
      <c r="A7" t="s">
        <v>1730</v>
      </c>
      <c r="B7">
        <v>2026</v>
      </c>
      <c r="C7" s="5" t="s">
        <v>240</v>
      </c>
      <c r="D7" t="s">
        <v>19</v>
      </c>
      <c r="E7" s="4">
        <v>6.7</v>
      </c>
      <c r="F7" t="str">
        <f t="shared" si="0"/>
        <v>Watch</v>
      </c>
      <c r="G7" t="str">
        <f t="shared" si="1"/>
        <v>Avg</v>
      </c>
      <c r="H7" t="str" cm="1">
        <f t="array" ref="H7">_xlfn.IFS(E7&gt;8,"Best",E7=7,"Good",E7&gt;7,"Good",E7&lt;7,"Avg",E7&lt;6,"Below Avg")</f>
        <v>Avg</v>
      </c>
      <c r="I7">
        <v>157</v>
      </c>
      <c r="K7" s="3">
        <v>33971736</v>
      </c>
      <c r="L7" s="3">
        <v>25647824</v>
      </c>
      <c r="M7" s="3">
        <f t="shared" si="2"/>
        <v>8323912</v>
      </c>
      <c r="O7" t="s">
        <v>1731</v>
      </c>
      <c r="P7" t="s">
        <v>11</v>
      </c>
      <c r="Q7" t="str">
        <f t="shared" si="3"/>
        <v>Kid</v>
      </c>
    </row>
    <row r="8" spans="1:17" x14ac:dyDescent="0.3">
      <c r="A8" t="s">
        <v>1732</v>
      </c>
      <c r="B8">
        <v>2026</v>
      </c>
      <c r="C8" s="5" t="s">
        <v>240</v>
      </c>
      <c r="D8" t="s">
        <v>8</v>
      </c>
      <c r="E8" s="4">
        <v>6.1</v>
      </c>
      <c r="F8" t="str">
        <f t="shared" si="0"/>
        <v>Don't Watch</v>
      </c>
      <c r="G8" t="str">
        <f t="shared" si="1"/>
        <v>Avg</v>
      </c>
      <c r="H8" t="str" cm="1">
        <f t="array" ref="H8">_xlfn.IFS(E8&gt;8,"Best",E8=7,"Good",E8&gt;7,"Good",E8&lt;7,"Avg",E8&lt;6,"Below Avg")</f>
        <v>Avg</v>
      </c>
      <c r="I8">
        <v>139</v>
      </c>
      <c r="K8" s="3">
        <v>29662167</v>
      </c>
      <c r="L8" s="3">
        <v>22774778</v>
      </c>
      <c r="M8" s="3">
        <f t="shared" si="2"/>
        <v>6887389</v>
      </c>
      <c r="N8" t="s">
        <v>1733</v>
      </c>
      <c r="O8" t="s">
        <v>1734</v>
      </c>
      <c r="P8" t="s">
        <v>11</v>
      </c>
      <c r="Q8" t="str">
        <f t="shared" si="3"/>
        <v>Kid</v>
      </c>
    </row>
    <row r="9" spans="1:17" x14ac:dyDescent="0.3">
      <c r="A9" t="s">
        <v>1735</v>
      </c>
      <c r="B9">
        <v>2026</v>
      </c>
      <c r="C9" s="5" t="s">
        <v>240</v>
      </c>
      <c r="D9" t="s">
        <v>39</v>
      </c>
      <c r="E9" s="4">
        <v>7.1</v>
      </c>
      <c r="F9" t="str">
        <f t="shared" si="0"/>
        <v>Watch</v>
      </c>
      <c r="G9" t="str">
        <f t="shared" si="1"/>
        <v>Good</v>
      </c>
      <c r="H9" t="str" cm="1">
        <f t="array" ref="H9">_xlfn.IFS(E9&gt;8,"Best",E9=7,"Good",E9&gt;7,"Good",E9&lt;7,"Avg",E9&lt;6,"Below Avg")</f>
        <v>Good</v>
      </c>
      <c r="I9">
        <v>107</v>
      </c>
      <c r="K9" s="3">
        <v>27055761</v>
      </c>
      <c r="L9" s="3">
        <v>21037174</v>
      </c>
      <c r="M9" s="3">
        <f t="shared" si="2"/>
        <v>6018587</v>
      </c>
      <c r="N9" t="s">
        <v>1736</v>
      </c>
      <c r="O9" t="s">
        <v>1737</v>
      </c>
      <c r="P9" t="s">
        <v>11</v>
      </c>
      <c r="Q9" t="str">
        <f t="shared" si="3"/>
        <v>Kid</v>
      </c>
    </row>
    <row r="10" spans="1:17" x14ac:dyDescent="0.3">
      <c r="A10" t="s">
        <v>1682</v>
      </c>
      <c r="B10">
        <v>2026</v>
      </c>
      <c r="C10" s="5" t="s">
        <v>240</v>
      </c>
      <c r="D10" t="s">
        <v>27</v>
      </c>
      <c r="E10" s="4">
        <v>6.7</v>
      </c>
      <c r="F10" t="str">
        <f t="shared" si="0"/>
        <v>Watch</v>
      </c>
      <c r="G10" t="str">
        <f t="shared" si="1"/>
        <v>Avg</v>
      </c>
      <c r="H10" t="str" cm="1">
        <f t="array" ref="H10">_xlfn.IFS(E10&gt;8,"Best",E10=7,"Good",E10&gt;7,"Good",E10&lt;7,"Avg",E10&lt;6,"Below Avg")</f>
        <v>Avg</v>
      </c>
      <c r="I10">
        <v>136</v>
      </c>
      <c r="K10" s="3">
        <v>29902143</v>
      </c>
      <c r="L10" s="3">
        <v>22934762</v>
      </c>
      <c r="M10" s="3">
        <f t="shared" si="2"/>
        <v>6967381</v>
      </c>
      <c r="O10" t="s">
        <v>1683</v>
      </c>
      <c r="P10" t="s">
        <v>11</v>
      </c>
      <c r="Q10" t="str">
        <f t="shared" si="3"/>
        <v>Kid</v>
      </c>
    </row>
    <row r="11" spans="1:17" x14ac:dyDescent="0.3">
      <c r="A11" t="s">
        <v>1684</v>
      </c>
      <c r="B11">
        <v>2026</v>
      </c>
      <c r="C11" s="5" t="s">
        <v>240</v>
      </c>
      <c r="D11" t="s">
        <v>35</v>
      </c>
      <c r="E11" s="4">
        <v>8.4</v>
      </c>
      <c r="F11" t="str">
        <f t="shared" si="0"/>
        <v>Watch</v>
      </c>
      <c r="G11" t="str">
        <f t="shared" si="1"/>
        <v>Good</v>
      </c>
      <c r="H11" t="str" cm="1">
        <f t="array" ref="H11">_xlfn.IFS(E11&gt;8,"Best",E11=7,"Good",E11&gt;7,"Good",E11&lt;7,"Avg",E11&lt;6,"Below Avg")</f>
        <v>Best</v>
      </c>
      <c r="I11">
        <v>105</v>
      </c>
      <c r="K11" s="3">
        <v>29298870</v>
      </c>
      <c r="L11" s="3">
        <v>22532580</v>
      </c>
      <c r="M11" s="3">
        <f t="shared" si="2"/>
        <v>6766290</v>
      </c>
      <c r="N11" t="s">
        <v>1685</v>
      </c>
      <c r="O11" t="s">
        <v>497</v>
      </c>
      <c r="P11" t="s">
        <v>11</v>
      </c>
      <c r="Q11" t="str">
        <f t="shared" si="3"/>
        <v>Kid</v>
      </c>
    </row>
    <row r="12" spans="1:17" x14ac:dyDescent="0.3">
      <c r="A12" t="s">
        <v>1686</v>
      </c>
      <c r="B12">
        <v>2026</v>
      </c>
      <c r="C12" s="5" t="s">
        <v>240</v>
      </c>
      <c r="D12" t="s">
        <v>8</v>
      </c>
      <c r="E12" s="4">
        <v>9.1</v>
      </c>
      <c r="F12" t="str">
        <f t="shared" si="0"/>
        <v>Watch</v>
      </c>
      <c r="G12" t="str">
        <f t="shared" si="1"/>
        <v>Best</v>
      </c>
      <c r="H12" t="str" cm="1">
        <f t="array" ref="H12">_xlfn.IFS(E12&gt;8,"Best",E12=7,"Good",E12&gt;7,"Good",E12&lt;7,"Avg",E12&lt;6,"Below Avg")</f>
        <v>Best</v>
      </c>
      <c r="I12">
        <v>157</v>
      </c>
      <c r="K12" s="3">
        <v>28222311</v>
      </c>
      <c r="L12" s="3">
        <v>21814874</v>
      </c>
      <c r="M12" s="3">
        <f t="shared" si="2"/>
        <v>6407437</v>
      </c>
      <c r="O12" t="s">
        <v>442</v>
      </c>
      <c r="P12" t="s">
        <v>11</v>
      </c>
      <c r="Q12" t="str">
        <f t="shared" si="3"/>
        <v>Kid</v>
      </c>
    </row>
    <row r="13" spans="1:17" x14ac:dyDescent="0.3">
      <c r="A13" t="s">
        <v>1693</v>
      </c>
      <c r="B13">
        <v>2026</v>
      </c>
      <c r="C13" s="5" t="s">
        <v>240</v>
      </c>
      <c r="D13" t="s">
        <v>2</v>
      </c>
      <c r="E13" s="4">
        <v>6.4</v>
      </c>
      <c r="F13" t="str">
        <f t="shared" si="0"/>
        <v>Don't Watch</v>
      </c>
      <c r="G13" t="str">
        <f t="shared" si="1"/>
        <v>Avg</v>
      </c>
      <c r="H13" t="str" cm="1">
        <f t="array" ref="H13">_xlfn.IFS(E13&gt;8,"Best",E13=7,"Good",E13&gt;7,"Good",E13&lt;7,"Avg",E13&lt;6,"Below Avg")</f>
        <v>Avg</v>
      </c>
      <c r="I13">
        <v>136</v>
      </c>
      <c r="K13" s="3">
        <v>43170405</v>
      </c>
      <c r="L13" s="3">
        <v>12036414</v>
      </c>
      <c r="M13" s="3">
        <f t="shared" si="2"/>
        <v>31133991</v>
      </c>
      <c r="O13" t="s">
        <v>1694</v>
      </c>
      <c r="P13" t="s">
        <v>4</v>
      </c>
      <c r="Q13" t="str">
        <f t="shared" si="3"/>
        <v>Adult</v>
      </c>
    </row>
    <row r="14" spans="1:17" x14ac:dyDescent="0.3">
      <c r="A14" t="s">
        <v>1695</v>
      </c>
      <c r="B14">
        <v>2026</v>
      </c>
      <c r="C14" s="5" t="s">
        <v>240</v>
      </c>
      <c r="D14" t="s">
        <v>27</v>
      </c>
      <c r="E14" s="4">
        <v>8.8000000000000007</v>
      </c>
      <c r="F14" t="str">
        <f t="shared" si="0"/>
        <v>Watch</v>
      </c>
      <c r="G14" t="str">
        <f t="shared" si="1"/>
        <v>Best</v>
      </c>
      <c r="H14" t="str" cm="1">
        <f t="array" ref="H14">_xlfn.IFS(E14&gt;8,"Best",E14=7,"Good",E14&gt;7,"Good",E14&lt;7,"Avg",E14&lt;6,"Below Avg")</f>
        <v>Best</v>
      </c>
      <c r="I14">
        <v>115</v>
      </c>
      <c r="K14" s="3">
        <v>30082125</v>
      </c>
      <c r="L14" s="3">
        <v>23054750</v>
      </c>
      <c r="M14" s="3">
        <f t="shared" si="2"/>
        <v>7027375</v>
      </c>
      <c r="N14" t="s">
        <v>843</v>
      </c>
      <c r="O14" t="s">
        <v>932</v>
      </c>
      <c r="P14" t="s">
        <v>11</v>
      </c>
      <c r="Q14" t="str">
        <f t="shared" si="3"/>
        <v>Kid</v>
      </c>
    </row>
    <row r="15" spans="1:17" x14ac:dyDescent="0.3">
      <c r="A15" t="s">
        <v>1696</v>
      </c>
      <c r="B15">
        <v>2026</v>
      </c>
      <c r="C15" s="5" t="s">
        <v>240</v>
      </c>
      <c r="D15" t="s">
        <v>148</v>
      </c>
      <c r="E15" s="4">
        <v>7.3</v>
      </c>
      <c r="F15" t="str">
        <f t="shared" si="0"/>
        <v>Watch</v>
      </c>
      <c r="G15" t="str">
        <f t="shared" si="1"/>
        <v>Good</v>
      </c>
      <c r="H15" t="str" cm="1">
        <f t="array" ref="H15">_xlfn.IFS(E15&gt;8,"Best",E15=7,"Good",E15&gt;7,"Good",E15&lt;7,"Avg",E15&lt;6,"Below Avg")</f>
        <v>Good</v>
      </c>
      <c r="I15">
        <v>136</v>
      </c>
      <c r="K15" s="3">
        <v>39004155</v>
      </c>
      <c r="L15" s="3">
        <v>11110914</v>
      </c>
      <c r="M15" s="3">
        <f t="shared" si="2"/>
        <v>27893241</v>
      </c>
      <c r="N15" t="s">
        <v>1697</v>
      </c>
      <c r="O15" t="s">
        <v>1698</v>
      </c>
      <c r="P15" t="s">
        <v>4</v>
      </c>
      <c r="Q15" t="str">
        <f t="shared" si="3"/>
        <v>Adult</v>
      </c>
    </row>
    <row r="16" spans="1:17" x14ac:dyDescent="0.3">
      <c r="A16" t="s">
        <v>1699</v>
      </c>
      <c r="B16">
        <v>2026</v>
      </c>
      <c r="C16" s="5" t="s">
        <v>240</v>
      </c>
      <c r="D16" t="s">
        <v>8</v>
      </c>
      <c r="E16" s="4">
        <v>6.6</v>
      </c>
      <c r="F16" t="str">
        <f t="shared" si="0"/>
        <v>Watch</v>
      </c>
      <c r="G16" t="str">
        <f t="shared" si="1"/>
        <v>Avg</v>
      </c>
      <c r="H16" t="str" cm="1">
        <f t="array" ref="H16">_xlfn.IFS(E16&gt;8,"Best",E16=7,"Good",E16&gt;7,"Good",E16&lt;7,"Avg",E16&lt;6,"Below Avg")</f>
        <v>Avg</v>
      </c>
      <c r="I16">
        <v>162</v>
      </c>
      <c r="K16" s="3">
        <v>29238876</v>
      </c>
      <c r="L16" s="3">
        <v>22492584</v>
      </c>
      <c r="M16" s="3">
        <f t="shared" si="2"/>
        <v>6746292</v>
      </c>
      <c r="O16" t="s">
        <v>1700</v>
      </c>
      <c r="P16" t="s">
        <v>11</v>
      </c>
      <c r="Q16" t="str">
        <f t="shared" si="3"/>
        <v>Kid</v>
      </c>
    </row>
    <row r="17" spans="1:17" x14ac:dyDescent="0.3">
      <c r="A17" t="s">
        <v>1701</v>
      </c>
      <c r="B17">
        <v>2026</v>
      </c>
      <c r="C17" s="5" t="s">
        <v>240</v>
      </c>
      <c r="D17" t="s">
        <v>8</v>
      </c>
      <c r="E17" s="4">
        <v>8.8000000000000007</v>
      </c>
      <c r="F17" t="str">
        <f t="shared" si="0"/>
        <v>Watch</v>
      </c>
      <c r="G17" t="str">
        <f t="shared" si="1"/>
        <v>Best</v>
      </c>
      <c r="H17" t="str" cm="1">
        <f t="array" ref="H17">_xlfn.IFS(E17&gt;8,"Best",E17=7,"Good",E17&gt;7,"Good",E17&lt;7,"Avg",E17&lt;6,"Below Avg")</f>
        <v>Best</v>
      </c>
      <c r="I17">
        <v>112</v>
      </c>
      <c r="K17" s="3">
        <v>25572576</v>
      </c>
      <c r="L17" s="3">
        <v>20048384</v>
      </c>
      <c r="M17" s="3">
        <f t="shared" si="2"/>
        <v>5524192</v>
      </c>
      <c r="O17" t="s">
        <v>1702</v>
      </c>
      <c r="P17" t="s">
        <v>11</v>
      </c>
      <c r="Q17" t="str">
        <f t="shared" si="3"/>
        <v>Kid</v>
      </c>
    </row>
    <row r="18" spans="1:17" x14ac:dyDescent="0.3">
      <c r="A18" t="s">
        <v>1705</v>
      </c>
      <c r="B18">
        <v>2026</v>
      </c>
      <c r="C18" s="5" t="s">
        <v>240</v>
      </c>
      <c r="D18" t="s">
        <v>85</v>
      </c>
      <c r="E18" s="4">
        <v>7.8</v>
      </c>
      <c r="F18" t="str">
        <f t="shared" si="0"/>
        <v>Watch</v>
      </c>
      <c r="G18" t="str">
        <f t="shared" si="1"/>
        <v>Good</v>
      </c>
      <c r="H18" t="str" cm="1">
        <f t="array" ref="H18">_xlfn.IFS(E18&gt;8,"Best",E18=7,"Good",E18&gt;7,"Good",E18&lt;7,"Avg",E18&lt;6,"Below Avg")</f>
        <v>Good</v>
      </c>
      <c r="I18">
        <v>129</v>
      </c>
      <c r="K18" s="3">
        <v>45631270</v>
      </c>
      <c r="L18" s="3">
        <v>12583076</v>
      </c>
      <c r="M18" s="3">
        <f t="shared" si="2"/>
        <v>33048194</v>
      </c>
      <c r="N18" t="s">
        <v>1706</v>
      </c>
      <c r="O18" t="s">
        <v>1707</v>
      </c>
      <c r="P18" t="s">
        <v>4</v>
      </c>
      <c r="Q18" t="str">
        <f t="shared" si="3"/>
        <v>Adult</v>
      </c>
    </row>
    <row r="19" spans="1:17" x14ac:dyDescent="0.3">
      <c r="A19" t="s">
        <v>1708</v>
      </c>
      <c r="B19">
        <v>2026</v>
      </c>
      <c r="C19" s="5" t="s">
        <v>240</v>
      </c>
      <c r="D19" t="s">
        <v>19</v>
      </c>
      <c r="E19" s="4">
        <v>6.2</v>
      </c>
      <c r="F19" t="str">
        <f t="shared" si="0"/>
        <v>Don't Watch</v>
      </c>
      <c r="G19" t="str">
        <f t="shared" si="1"/>
        <v>Avg</v>
      </c>
      <c r="H19" t="str" cm="1">
        <f t="array" ref="H19">_xlfn.IFS(E19&gt;8,"Best",E19=7,"Good",E19&gt;7,"Good",E19&lt;7,"Avg",E19&lt;6,"Below Avg")</f>
        <v>Avg</v>
      </c>
      <c r="I19">
        <v>137</v>
      </c>
      <c r="K19" s="3">
        <v>27905676</v>
      </c>
      <c r="L19" s="3">
        <v>21603784</v>
      </c>
      <c r="M19" s="3">
        <f t="shared" si="2"/>
        <v>6301892</v>
      </c>
      <c r="N19" t="s">
        <v>1709</v>
      </c>
      <c r="O19" t="s">
        <v>1710</v>
      </c>
      <c r="P19" t="s">
        <v>11</v>
      </c>
      <c r="Q19" t="str">
        <f t="shared" si="3"/>
        <v>Kid</v>
      </c>
    </row>
    <row r="20" spans="1:17" x14ac:dyDescent="0.3">
      <c r="A20" t="s">
        <v>1714</v>
      </c>
      <c r="B20">
        <v>2026</v>
      </c>
      <c r="C20" s="5" t="s">
        <v>240</v>
      </c>
      <c r="D20" t="s">
        <v>49</v>
      </c>
      <c r="E20" s="4">
        <v>6.7</v>
      </c>
      <c r="F20" t="str">
        <f t="shared" si="0"/>
        <v>Watch</v>
      </c>
      <c r="G20" t="str">
        <f t="shared" si="1"/>
        <v>Avg</v>
      </c>
      <c r="H20" t="str" cm="1">
        <f t="array" ref="H20">_xlfn.IFS(E20&gt;8,"Best",E20=7,"Good",E20&gt;7,"Good",E20&lt;7,"Avg",E20&lt;6,"Below Avg")</f>
        <v>Avg</v>
      </c>
      <c r="I20">
        <v>142</v>
      </c>
      <c r="K20" s="3">
        <v>27922341</v>
      </c>
      <c r="L20" s="3">
        <v>21614894</v>
      </c>
      <c r="M20" s="3">
        <f t="shared" si="2"/>
        <v>6307447</v>
      </c>
      <c r="N20" t="s">
        <v>1715</v>
      </c>
      <c r="O20" t="s">
        <v>862</v>
      </c>
      <c r="P20" t="s">
        <v>11</v>
      </c>
      <c r="Q20" t="str">
        <f t="shared" si="3"/>
        <v>Kid</v>
      </c>
    </row>
    <row r="21" spans="1:17" x14ac:dyDescent="0.3">
      <c r="A21" t="s">
        <v>1716</v>
      </c>
      <c r="B21">
        <v>2026</v>
      </c>
      <c r="C21" s="5" t="s">
        <v>240</v>
      </c>
      <c r="D21" t="s">
        <v>304</v>
      </c>
      <c r="E21" s="4">
        <v>6.3</v>
      </c>
      <c r="F21" t="str">
        <f t="shared" si="0"/>
        <v>Don't Watch</v>
      </c>
      <c r="G21" t="str">
        <f t="shared" si="1"/>
        <v>Avg</v>
      </c>
      <c r="H21" t="str" cm="1">
        <f t="array" ref="H21">_xlfn.IFS(E21&gt;8,"Best",E21=7,"Good",E21&gt;7,"Good",E21&lt;7,"Avg",E21&lt;6,"Below Avg")</f>
        <v>Avg</v>
      </c>
      <c r="I21">
        <v>108</v>
      </c>
      <c r="K21" s="3">
        <v>26809119</v>
      </c>
      <c r="L21" s="3">
        <v>20872746</v>
      </c>
      <c r="M21" s="3">
        <f t="shared" si="2"/>
        <v>5936373</v>
      </c>
      <c r="N21" t="s">
        <v>1717</v>
      </c>
      <c r="O21" t="s">
        <v>982</v>
      </c>
      <c r="P21" t="s">
        <v>11</v>
      </c>
      <c r="Q21" t="str">
        <f t="shared" si="3"/>
        <v>Kid</v>
      </c>
    </row>
    <row r="22" spans="1:17" x14ac:dyDescent="0.3">
      <c r="A22" t="s">
        <v>1718</v>
      </c>
      <c r="B22">
        <v>2026</v>
      </c>
      <c r="C22" s="5" t="s">
        <v>240</v>
      </c>
      <c r="D22" t="s">
        <v>127</v>
      </c>
      <c r="E22" s="4">
        <v>6.1</v>
      </c>
      <c r="F22" t="str">
        <f t="shared" si="0"/>
        <v>Don't Watch</v>
      </c>
      <c r="G22" t="str">
        <f t="shared" si="1"/>
        <v>Avg</v>
      </c>
      <c r="H22" t="str" cm="1">
        <f t="array" ref="H22">_xlfn.IFS(E22&gt;8,"Best",E22=7,"Good",E22&gt;7,"Good",E22&lt;7,"Avg",E22&lt;6,"Below Avg")</f>
        <v>Avg</v>
      </c>
      <c r="I22">
        <v>130</v>
      </c>
      <c r="K22" s="3">
        <v>27132420</v>
      </c>
      <c r="L22" s="3">
        <v>21088280</v>
      </c>
      <c r="M22" s="3">
        <f t="shared" si="2"/>
        <v>6044140</v>
      </c>
      <c r="O22" t="s">
        <v>1719</v>
      </c>
      <c r="P22" t="s">
        <v>11</v>
      </c>
      <c r="Q22" t="str">
        <f t="shared" si="3"/>
        <v>Kid</v>
      </c>
    </row>
    <row r="23" spans="1:17" x14ac:dyDescent="0.3">
      <c r="A23" t="s">
        <v>1720</v>
      </c>
      <c r="B23">
        <v>2026</v>
      </c>
      <c r="C23" s="5" t="s">
        <v>240</v>
      </c>
      <c r="D23" t="s">
        <v>148</v>
      </c>
      <c r="E23" s="4">
        <v>6.3</v>
      </c>
      <c r="F23" t="str">
        <f t="shared" si="0"/>
        <v>Don't Watch</v>
      </c>
      <c r="G23" t="str">
        <f t="shared" si="1"/>
        <v>Avg</v>
      </c>
      <c r="H23" t="str" cm="1">
        <f t="array" ref="H23">_xlfn.IFS(E23&gt;8,"Best",E23=7,"Good",E23&gt;7,"Good",E23&lt;7,"Avg",E23&lt;6,"Below Avg")</f>
        <v>Avg</v>
      </c>
      <c r="I23">
        <v>96</v>
      </c>
      <c r="K23" s="3">
        <v>46281205</v>
      </c>
      <c r="L23" s="3">
        <v>12727454</v>
      </c>
      <c r="M23" s="3">
        <f t="shared" si="2"/>
        <v>33553751</v>
      </c>
      <c r="N23" t="s">
        <v>1721</v>
      </c>
      <c r="O23" t="s">
        <v>396</v>
      </c>
      <c r="P23" t="s">
        <v>4</v>
      </c>
      <c r="Q23" t="str">
        <f t="shared" si="3"/>
        <v>Adult</v>
      </c>
    </row>
    <row r="24" spans="1:17" x14ac:dyDescent="0.3">
      <c r="A24" t="s">
        <v>1722</v>
      </c>
      <c r="B24">
        <v>2026</v>
      </c>
      <c r="C24" s="5" t="s">
        <v>240</v>
      </c>
      <c r="D24" t="s">
        <v>31</v>
      </c>
      <c r="E24" s="4">
        <v>9.1999999999999993</v>
      </c>
      <c r="F24" t="str">
        <f t="shared" si="0"/>
        <v>Watch</v>
      </c>
      <c r="G24" t="str">
        <f t="shared" si="1"/>
        <v>Best</v>
      </c>
      <c r="H24" t="str" cm="1">
        <f t="array" ref="H24">_xlfn.IFS(E24&gt;8,"Best",E24=7,"Good",E24&gt;7,"Good",E24&lt;7,"Avg",E24&lt;6,"Below Avg")</f>
        <v>Best</v>
      </c>
      <c r="I24">
        <v>122</v>
      </c>
      <c r="K24" s="3">
        <v>26355831</v>
      </c>
      <c r="L24" s="3">
        <v>20570554</v>
      </c>
      <c r="M24" s="3">
        <f t="shared" si="2"/>
        <v>5785277</v>
      </c>
      <c r="O24" t="s">
        <v>1723</v>
      </c>
      <c r="P24" t="s">
        <v>11</v>
      </c>
      <c r="Q24" t="str">
        <f t="shared" si="3"/>
        <v>Kid</v>
      </c>
    </row>
    <row r="25" spans="1:17" x14ac:dyDescent="0.3">
      <c r="A25" t="s">
        <v>1724</v>
      </c>
      <c r="B25">
        <v>2026</v>
      </c>
      <c r="C25" s="5" t="s">
        <v>240</v>
      </c>
      <c r="D25" t="s">
        <v>23</v>
      </c>
      <c r="E25" s="4">
        <v>9</v>
      </c>
      <c r="F25" t="str">
        <f t="shared" si="0"/>
        <v>Watch</v>
      </c>
      <c r="G25" t="str">
        <f t="shared" si="1"/>
        <v>Best</v>
      </c>
      <c r="H25" t="str" cm="1">
        <f t="array" ref="H25">_xlfn.IFS(E25&gt;8,"Best",E25=7,"Good",E25&gt;7,"Good",E25&lt;7,"Avg",E25&lt;6,"Below Avg")</f>
        <v>Best</v>
      </c>
      <c r="I25">
        <v>159</v>
      </c>
      <c r="K25" s="3">
        <v>27229077</v>
      </c>
      <c r="L25" s="3">
        <v>21152718</v>
      </c>
      <c r="M25" s="3">
        <f t="shared" si="2"/>
        <v>6076359</v>
      </c>
      <c r="N25" t="s">
        <v>1725</v>
      </c>
      <c r="O25" t="s">
        <v>1726</v>
      </c>
      <c r="P25" t="s">
        <v>11</v>
      </c>
      <c r="Q25" t="str">
        <f t="shared" si="3"/>
        <v>Kid</v>
      </c>
    </row>
    <row r="26" spans="1:17" x14ac:dyDescent="0.3">
      <c r="A26" t="s">
        <v>1727</v>
      </c>
      <c r="B26">
        <v>2026</v>
      </c>
      <c r="C26" s="5" t="s">
        <v>240</v>
      </c>
      <c r="D26" t="s">
        <v>8</v>
      </c>
      <c r="E26" s="4">
        <v>8.9</v>
      </c>
      <c r="F26" t="str">
        <f t="shared" si="0"/>
        <v>Watch</v>
      </c>
      <c r="G26" t="str">
        <f t="shared" si="1"/>
        <v>Best</v>
      </c>
      <c r="H26" t="str" cm="1">
        <f t="array" ref="H26">_xlfn.IFS(E26&gt;8,"Best",E26=7,"Good",E26&gt;7,"Good",E26&lt;7,"Avg",E26&lt;6,"Below Avg")</f>
        <v>Best</v>
      </c>
      <c r="I26">
        <v>137</v>
      </c>
      <c r="K26" s="3">
        <v>28655601</v>
      </c>
      <c r="L26" s="3">
        <v>22103734</v>
      </c>
      <c r="M26" s="3">
        <f t="shared" si="2"/>
        <v>6551867</v>
      </c>
      <c r="N26" t="s">
        <v>1728</v>
      </c>
      <c r="O26" t="s">
        <v>1729</v>
      </c>
      <c r="P26" t="s">
        <v>11</v>
      </c>
      <c r="Q26" t="str">
        <f t="shared" si="3"/>
        <v>Kid</v>
      </c>
    </row>
    <row r="27" spans="1:17" x14ac:dyDescent="0.3">
      <c r="A27" t="s">
        <v>1738</v>
      </c>
      <c r="B27">
        <v>2026</v>
      </c>
      <c r="C27" s="5" t="s">
        <v>240</v>
      </c>
      <c r="D27" t="s">
        <v>8</v>
      </c>
      <c r="E27" s="4">
        <v>7.5</v>
      </c>
      <c r="F27" t="str">
        <f t="shared" si="0"/>
        <v>Watch</v>
      </c>
      <c r="G27" t="str">
        <f t="shared" si="1"/>
        <v>Good</v>
      </c>
      <c r="H27" t="str" cm="1">
        <f t="array" ref="H27">_xlfn.IFS(E27&gt;8,"Best",E27=7,"Good",E27&gt;7,"Good",E27&lt;7,"Avg",E27&lt;6,"Below Avg")</f>
        <v>Good</v>
      </c>
      <c r="I27">
        <v>114</v>
      </c>
      <c r="K27" s="3">
        <v>26079192</v>
      </c>
      <c r="L27" s="3">
        <v>20386128</v>
      </c>
      <c r="M27" s="3">
        <f t="shared" si="2"/>
        <v>5693064</v>
      </c>
      <c r="N27" t="s">
        <v>1739</v>
      </c>
      <c r="O27" t="s">
        <v>1740</v>
      </c>
      <c r="P27" t="s">
        <v>11</v>
      </c>
      <c r="Q27" t="str">
        <f t="shared" si="3"/>
        <v>Kid</v>
      </c>
    </row>
    <row r="28" spans="1:17" x14ac:dyDescent="0.3">
      <c r="A28" t="s">
        <v>1741</v>
      </c>
      <c r="B28">
        <v>2026</v>
      </c>
      <c r="C28" s="5" t="s">
        <v>240</v>
      </c>
      <c r="D28" t="s">
        <v>23</v>
      </c>
      <c r="E28" s="4">
        <v>6</v>
      </c>
      <c r="F28" t="str">
        <f t="shared" si="0"/>
        <v>Don't Watch</v>
      </c>
      <c r="G28" t="str">
        <f t="shared" si="1"/>
        <v>Avg</v>
      </c>
      <c r="H28" t="str" cm="1">
        <f t="array" ref="H28">_xlfn.IFS(E28&gt;8,"Best",E28=7,"Good",E28&gt;7,"Good",E28&lt;7,"Avg",E28&lt;6,"Below Avg")</f>
        <v>Avg</v>
      </c>
      <c r="I28">
        <v>144</v>
      </c>
      <c r="K28" s="3">
        <v>30428757</v>
      </c>
      <c r="L28" s="3">
        <v>23285838</v>
      </c>
      <c r="M28" s="3">
        <f t="shared" si="2"/>
        <v>7142919</v>
      </c>
      <c r="N28" t="s">
        <v>1742</v>
      </c>
      <c r="O28" t="s">
        <v>1743</v>
      </c>
      <c r="P28" t="s">
        <v>11</v>
      </c>
      <c r="Q28" t="str">
        <f t="shared" si="3"/>
        <v>Kid</v>
      </c>
    </row>
    <row r="29" spans="1:17" x14ac:dyDescent="0.3">
      <c r="A29" t="s">
        <v>1744</v>
      </c>
      <c r="B29">
        <v>2026</v>
      </c>
      <c r="C29" s="5" t="s">
        <v>240</v>
      </c>
      <c r="D29" t="s">
        <v>27</v>
      </c>
      <c r="E29" s="4">
        <v>7.6</v>
      </c>
      <c r="F29" t="str">
        <f t="shared" si="0"/>
        <v>Watch</v>
      </c>
      <c r="G29" t="str">
        <f t="shared" si="1"/>
        <v>Good</v>
      </c>
      <c r="H29" t="str" cm="1">
        <f t="array" ref="H29">_xlfn.IFS(E29&gt;8,"Best",E29=7,"Good",E29&gt;7,"Good",E29&lt;7,"Avg",E29&lt;6,"Below Avg")</f>
        <v>Good</v>
      </c>
      <c r="I29">
        <v>130</v>
      </c>
      <c r="K29" s="3">
        <v>29382195</v>
      </c>
      <c r="L29" s="3">
        <v>22588130</v>
      </c>
      <c r="M29" s="3">
        <f t="shared" si="2"/>
        <v>6794065</v>
      </c>
      <c r="O29" t="s">
        <v>1745</v>
      </c>
      <c r="P29" t="s">
        <v>11</v>
      </c>
      <c r="Q29" t="str">
        <f t="shared" si="3"/>
        <v>Kid</v>
      </c>
    </row>
    <row r="30" spans="1:17" x14ac:dyDescent="0.3">
      <c r="A30" t="s">
        <v>1746</v>
      </c>
      <c r="B30">
        <v>2026</v>
      </c>
      <c r="C30" s="5" t="s">
        <v>240</v>
      </c>
      <c r="D30" t="s">
        <v>8</v>
      </c>
      <c r="E30" s="4">
        <v>6.4</v>
      </c>
      <c r="F30" t="str">
        <f t="shared" si="0"/>
        <v>Don't Watch</v>
      </c>
      <c r="G30" t="str">
        <f t="shared" si="1"/>
        <v>Avg</v>
      </c>
      <c r="H30" t="str" cm="1">
        <f t="array" ref="H30">_xlfn.IFS(E30&gt;8,"Best",E30=7,"Good",E30&gt;7,"Good",E30&lt;7,"Avg",E30&lt;6,"Below Avg")</f>
        <v>Avg</v>
      </c>
      <c r="I30">
        <v>127</v>
      </c>
      <c r="K30" s="3">
        <v>26372496</v>
      </c>
      <c r="L30" s="3">
        <v>20581664</v>
      </c>
      <c r="M30" s="3">
        <f t="shared" si="2"/>
        <v>5790832</v>
      </c>
      <c r="N30" t="s">
        <v>1747</v>
      </c>
      <c r="O30" t="s">
        <v>1226</v>
      </c>
      <c r="P30" t="s">
        <v>11</v>
      </c>
      <c r="Q30" t="str">
        <f t="shared" si="3"/>
        <v>Kid</v>
      </c>
    </row>
    <row r="31" spans="1:17" x14ac:dyDescent="0.3">
      <c r="A31" t="s">
        <v>1748</v>
      </c>
      <c r="B31">
        <v>2026</v>
      </c>
      <c r="C31" s="5" t="s">
        <v>240</v>
      </c>
      <c r="D31" t="s">
        <v>127</v>
      </c>
      <c r="E31" s="4">
        <v>6.1</v>
      </c>
      <c r="F31" t="str">
        <f t="shared" si="0"/>
        <v>Don't Watch</v>
      </c>
      <c r="G31" t="str">
        <f t="shared" si="1"/>
        <v>Avg</v>
      </c>
      <c r="H31" t="str" cm="1">
        <f t="array" ref="H31">_xlfn.IFS(E31&gt;8,"Best",E31=7,"Good",E31&gt;7,"Good",E31&lt;7,"Avg",E31&lt;6,"Below Avg")</f>
        <v>Avg</v>
      </c>
      <c r="I31">
        <v>115</v>
      </c>
      <c r="K31" s="3">
        <v>29332200</v>
      </c>
      <c r="L31" s="3">
        <v>22554800</v>
      </c>
      <c r="M31" s="3">
        <f t="shared" si="2"/>
        <v>6777400</v>
      </c>
      <c r="N31" t="s">
        <v>1749</v>
      </c>
      <c r="O31" t="s">
        <v>1750</v>
      </c>
      <c r="P31" t="s">
        <v>11</v>
      </c>
      <c r="Q31" t="str">
        <f t="shared" si="3"/>
        <v>Kid</v>
      </c>
    </row>
    <row r="32" spans="1:17" x14ac:dyDescent="0.3">
      <c r="A32" t="s">
        <v>1751</v>
      </c>
      <c r="B32">
        <v>2026</v>
      </c>
      <c r="C32" s="5" t="s">
        <v>240</v>
      </c>
      <c r="D32" t="s">
        <v>19</v>
      </c>
      <c r="E32" s="4">
        <v>7.6</v>
      </c>
      <c r="F32" t="str">
        <f t="shared" si="0"/>
        <v>Watch</v>
      </c>
      <c r="G32" t="str">
        <f t="shared" si="1"/>
        <v>Good</v>
      </c>
      <c r="H32" t="str" cm="1">
        <f t="array" ref="H32">_xlfn.IFS(E32&gt;8,"Best",E32=7,"Good",E32&gt;7,"Good",E32&lt;7,"Avg",E32&lt;6,"Below Avg")</f>
        <v>Good</v>
      </c>
      <c r="I32">
        <v>142</v>
      </c>
      <c r="K32" s="3">
        <v>28172316</v>
      </c>
      <c r="L32" s="3">
        <v>21781544</v>
      </c>
      <c r="M32" s="3">
        <f t="shared" si="2"/>
        <v>6390772</v>
      </c>
      <c r="O32" t="s">
        <v>1752</v>
      </c>
      <c r="P32" t="s">
        <v>11</v>
      </c>
      <c r="Q32" t="str">
        <f t="shared" si="3"/>
        <v>Kid</v>
      </c>
    </row>
    <row r="33" spans="1:17" x14ac:dyDescent="0.3">
      <c r="A33" t="s">
        <v>1753</v>
      </c>
      <c r="B33">
        <v>2026</v>
      </c>
      <c r="C33" s="5" t="s">
        <v>240</v>
      </c>
      <c r="D33" t="s">
        <v>127</v>
      </c>
      <c r="E33" s="4">
        <v>6.1</v>
      </c>
      <c r="F33" t="str">
        <f t="shared" si="0"/>
        <v>Don't Watch</v>
      </c>
      <c r="G33" t="str">
        <f t="shared" si="1"/>
        <v>Avg</v>
      </c>
      <c r="H33" t="str" cm="1">
        <f t="array" ref="H33">_xlfn.IFS(E33&gt;8,"Best",E33=7,"Good",E33&gt;7,"Good",E33&lt;7,"Avg",E33&lt;6,"Below Avg")</f>
        <v>Avg</v>
      </c>
      <c r="I33">
        <v>160</v>
      </c>
      <c r="K33" s="3">
        <v>28232310</v>
      </c>
      <c r="L33" s="3">
        <v>21821540</v>
      </c>
      <c r="M33" s="3">
        <f t="shared" si="2"/>
        <v>6410770</v>
      </c>
      <c r="O33" t="s">
        <v>1754</v>
      </c>
      <c r="P33" t="s">
        <v>11</v>
      </c>
      <c r="Q33" t="str">
        <f t="shared" si="3"/>
        <v>Kid</v>
      </c>
    </row>
    <row r="34" spans="1:17" x14ac:dyDescent="0.3">
      <c r="A34" t="s">
        <v>1755</v>
      </c>
      <c r="B34">
        <v>2026</v>
      </c>
      <c r="C34" s="5" t="s">
        <v>240</v>
      </c>
      <c r="D34" t="s">
        <v>2</v>
      </c>
      <c r="E34" s="4">
        <v>7</v>
      </c>
      <c r="F34" t="str">
        <f t="shared" si="0"/>
        <v>Watch</v>
      </c>
      <c r="G34" t="str">
        <f t="shared" si="1"/>
        <v>Avg</v>
      </c>
      <c r="H34" t="str" cm="1">
        <f t="array" ref="H34">_xlfn.IFS(E34&gt;8,"Best",E34=7,"Good",E34&gt;7,"Good",E34&lt;7,"Avg",E34&lt;6,"Below Avg")</f>
        <v>Good</v>
      </c>
      <c r="I34">
        <v>127</v>
      </c>
      <c r="K34" s="3">
        <v>46870035</v>
      </c>
      <c r="L34" s="3">
        <v>12858258</v>
      </c>
      <c r="M34" s="3">
        <f t="shared" si="2"/>
        <v>34011777</v>
      </c>
      <c r="O34" t="s">
        <v>1756</v>
      </c>
      <c r="P34" t="s">
        <v>4</v>
      </c>
      <c r="Q34" t="str">
        <f t="shared" si="3"/>
        <v>Adult</v>
      </c>
    </row>
    <row r="35" spans="1:17" x14ac:dyDescent="0.3">
      <c r="A35" t="s">
        <v>1757</v>
      </c>
      <c r="B35">
        <v>2026</v>
      </c>
      <c r="C35" s="5" t="s">
        <v>240</v>
      </c>
      <c r="D35" t="s">
        <v>31</v>
      </c>
      <c r="E35" s="4">
        <v>8.5</v>
      </c>
      <c r="F35" t="str">
        <f t="shared" si="0"/>
        <v>Watch</v>
      </c>
      <c r="G35" t="str">
        <f t="shared" si="1"/>
        <v>Good</v>
      </c>
      <c r="H35" t="str" cm="1">
        <f t="array" ref="H35">_xlfn.IFS(E35&gt;8,"Best",E35=7,"Good",E35&gt;7,"Good",E35&lt;7,"Avg",E35&lt;6,"Below Avg")</f>
        <v>Best</v>
      </c>
      <c r="I35">
        <v>109</v>
      </c>
      <c r="K35" s="3">
        <v>28312302</v>
      </c>
      <c r="L35" s="3">
        <v>21874868</v>
      </c>
      <c r="M35" s="3">
        <f t="shared" si="2"/>
        <v>6437434</v>
      </c>
      <c r="O35" t="s">
        <v>1758</v>
      </c>
      <c r="P35" t="s">
        <v>11</v>
      </c>
      <c r="Q35" t="str">
        <f t="shared" si="3"/>
        <v>Kid</v>
      </c>
    </row>
    <row r="36" spans="1:17" x14ac:dyDescent="0.3">
      <c r="A36" t="s">
        <v>1953</v>
      </c>
      <c r="B36">
        <v>2026</v>
      </c>
      <c r="C36" s="5" t="s">
        <v>499</v>
      </c>
      <c r="D36" t="s">
        <v>2</v>
      </c>
      <c r="E36" s="4">
        <v>8.1999999999999993</v>
      </c>
      <c r="F36" t="str">
        <f t="shared" si="0"/>
        <v>Watch</v>
      </c>
      <c r="G36" t="str">
        <f t="shared" si="1"/>
        <v>Good</v>
      </c>
      <c r="H36" t="str" cm="1">
        <f t="array" ref="H36">_xlfn.IFS(E36&gt;8,"Best",E36=7,"Good",E36&gt;7,"Good",E36&lt;7,"Avg",E36&lt;6,"Below Avg")</f>
        <v>Best</v>
      </c>
      <c r="I36">
        <v>142</v>
      </c>
      <c r="K36" s="3">
        <v>40703985</v>
      </c>
      <c r="L36" s="3">
        <v>11488518</v>
      </c>
      <c r="M36" s="3">
        <f t="shared" si="2"/>
        <v>29215467</v>
      </c>
      <c r="O36" t="s">
        <v>1954</v>
      </c>
      <c r="P36" t="s">
        <v>4</v>
      </c>
      <c r="Q36" t="str">
        <f t="shared" si="3"/>
        <v>Adult</v>
      </c>
    </row>
    <row r="37" spans="1:17" x14ac:dyDescent="0.3">
      <c r="A37" t="s">
        <v>1955</v>
      </c>
      <c r="B37">
        <v>2026</v>
      </c>
      <c r="C37" s="5" t="s">
        <v>499</v>
      </c>
      <c r="D37" t="s">
        <v>8</v>
      </c>
      <c r="E37" s="4">
        <v>6.4</v>
      </c>
      <c r="F37" t="str">
        <f t="shared" si="0"/>
        <v>Don't Watch</v>
      </c>
      <c r="G37" t="str">
        <f t="shared" si="1"/>
        <v>Avg</v>
      </c>
      <c r="H37" t="str" cm="1">
        <f t="array" ref="H37">_xlfn.IFS(E37&gt;8,"Best",E37=7,"Good",E37&gt;7,"Good",E37&lt;7,"Avg",E37&lt;6,"Below Avg")</f>
        <v>Avg</v>
      </c>
      <c r="I37">
        <v>94</v>
      </c>
      <c r="K37" s="3">
        <v>29012232</v>
      </c>
      <c r="L37" s="3">
        <v>22341488</v>
      </c>
      <c r="M37" s="3">
        <f t="shared" si="2"/>
        <v>6670744</v>
      </c>
      <c r="O37" t="s">
        <v>1956</v>
      </c>
      <c r="P37" t="s">
        <v>11</v>
      </c>
      <c r="Q37" t="str">
        <f t="shared" si="3"/>
        <v>Kid</v>
      </c>
    </row>
    <row r="38" spans="1:17" x14ac:dyDescent="0.3">
      <c r="A38" t="s">
        <v>1973</v>
      </c>
      <c r="B38">
        <v>2026</v>
      </c>
      <c r="C38" s="5" t="s">
        <v>499</v>
      </c>
      <c r="D38" t="s">
        <v>35</v>
      </c>
      <c r="E38" s="4">
        <v>8.1</v>
      </c>
      <c r="F38" t="str">
        <f t="shared" si="0"/>
        <v>Watch</v>
      </c>
      <c r="G38" t="str">
        <f t="shared" si="1"/>
        <v>Good</v>
      </c>
      <c r="H38" t="str" cm="1">
        <f t="array" ref="H38">_xlfn.IFS(E38&gt;8,"Best",E38=7,"Good",E38&gt;7,"Good",E38&lt;7,"Avg",E38&lt;6,"Below Avg")</f>
        <v>Best</v>
      </c>
      <c r="I38">
        <v>90</v>
      </c>
      <c r="K38" s="3">
        <v>27749025</v>
      </c>
      <c r="L38" s="3">
        <v>21499350</v>
      </c>
      <c r="M38" s="3">
        <f t="shared" si="2"/>
        <v>6249675</v>
      </c>
      <c r="N38" t="s">
        <v>1974</v>
      </c>
      <c r="O38" t="s">
        <v>1136</v>
      </c>
      <c r="P38" t="s">
        <v>11</v>
      </c>
      <c r="Q38" t="str">
        <f t="shared" si="3"/>
        <v>Kid</v>
      </c>
    </row>
    <row r="39" spans="1:17" x14ac:dyDescent="0.3">
      <c r="A39" t="s">
        <v>1978</v>
      </c>
      <c r="B39">
        <v>2026</v>
      </c>
      <c r="C39" s="5" t="s">
        <v>499</v>
      </c>
      <c r="D39" t="s">
        <v>2</v>
      </c>
      <c r="E39" s="4">
        <v>8.6</v>
      </c>
      <c r="F39" t="str">
        <f t="shared" si="0"/>
        <v>Watch</v>
      </c>
      <c r="G39" t="str">
        <f t="shared" si="1"/>
        <v>Best</v>
      </c>
      <c r="H39" t="str" cm="1">
        <f t="array" ref="H39">_xlfn.IFS(E39&gt;8,"Best",E39=7,"Good",E39&gt;7,"Good",E39&lt;7,"Avg",E39&lt;6,"Below Avg")</f>
        <v>Best</v>
      </c>
      <c r="I39">
        <v>110</v>
      </c>
      <c r="K39" s="3">
        <v>51358475</v>
      </c>
      <c r="L39" s="3">
        <v>13855330</v>
      </c>
      <c r="M39" s="3">
        <f t="shared" si="2"/>
        <v>37503145</v>
      </c>
      <c r="O39" t="s">
        <v>1979</v>
      </c>
      <c r="P39" t="s">
        <v>4</v>
      </c>
      <c r="Q39" t="str">
        <f t="shared" si="3"/>
        <v>Adult</v>
      </c>
    </row>
    <row r="40" spans="1:17" x14ac:dyDescent="0.3">
      <c r="A40" t="s">
        <v>1986</v>
      </c>
      <c r="B40">
        <v>2026</v>
      </c>
      <c r="C40" s="5" t="s">
        <v>499</v>
      </c>
      <c r="D40" t="s">
        <v>8</v>
      </c>
      <c r="E40" s="4">
        <v>9</v>
      </c>
      <c r="F40" t="str">
        <f t="shared" si="0"/>
        <v>Watch</v>
      </c>
      <c r="G40" t="str">
        <f t="shared" si="1"/>
        <v>Best</v>
      </c>
      <c r="H40" t="str" cm="1">
        <f t="array" ref="H40">_xlfn.IFS(E40&gt;8,"Best",E40=7,"Good",E40&gt;7,"Good",E40&lt;7,"Avg",E40&lt;6,"Below Avg")</f>
        <v>Best</v>
      </c>
      <c r="I40">
        <v>93</v>
      </c>
      <c r="K40" s="3">
        <v>29758824</v>
      </c>
      <c r="L40" s="3">
        <v>22839216</v>
      </c>
      <c r="M40" s="3">
        <f t="shared" si="2"/>
        <v>6919608</v>
      </c>
      <c r="N40" t="s">
        <v>106</v>
      </c>
      <c r="O40" t="s">
        <v>107</v>
      </c>
      <c r="P40" t="s">
        <v>11</v>
      </c>
      <c r="Q40" t="str">
        <f t="shared" si="3"/>
        <v>Kid</v>
      </c>
    </row>
    <row r="41" spans="1:17" x14ac:dyDescent="0.3">
      <c r="A41" t="s">
        <v>1987</v>
      </c>
      <c r="B41">
        <v>2026</v>
      </c>
      <c r="C41" s="5" t="s">
        <v>499</v>
      </c>
      <c r="D41" t="s">
        <v>39</v>
      </c>
      <c r="E41" s="4">
        <v>7.8</v>
      </c>
      <c r="F41" t="str">
        <f t="shared" si="0"/>
        <v>Watch</v>
      </c>
      <c r="G41" t="str">
        <f t="shared" si="1"/>
        <v>Good</v>
      </c>
      <c r="H41" t="str" cm="1">
        <f t="array" ref="H41">_xlfn.IFS(E41&gt;8,"Best",E41=7,"Good",E41&gt;7,"Good",E41&lt;7,"Avg",E41&lt;6,"Below Avg")</f>
        <v>Good</v>
      </c>
      <c r="I41">
        <v>126</v>
      </c>
      <c r="K41" s="3">
        <v>28618938</v>
      </c>
      <c r="L41" s="3">
        <v>22079292</v>
      </c>
      <c r="M41" s="3">
        <f t="shared" si="2"/>
        <v>6539646</v>
      </c>
      <c r="N41" t="s">
        <v>733</v>
      </c>
      <c r="O41" t="s">
        <v>1988</v>
      </c>
      <c r="P41" t="s">
        <v>11</v>
      </c>
      <c r="Q41" t="str">
        <f t="shared" si="3"/>
        <v>Kid</v>
      </c>
    </row>
    <row r="42" spans="1:17" x14ac:dyDescent="0.3">
      <c r="A42" t="s">
        <v>1957</v>
      </c>
      <c r="B42">
        <v>2026</v>
      </c>
      <c r="C42" s="5" t="s">
        <v>499</v>
      </c>
      <c r="D42" t="s">
        <v>127</v>
      </c>
      <c r="E42" s="4">
        <v>9.1999999999999993</v>
      </c>
      <c r="F42" t="str">
        <f t="shared" si="0"/>
        <v>Watch</v>
      </c>
      <c r="G42" t="str">
        <f t="shared" si="1"/>
        <v>Best</v>
      </c>
      <c r="H42" t="str" cm="1">
        <f t="array" ref="H42">_xlfn.IFS(E42&gt;8,"Best",E42=7,"Good",E42&gt;7,"Good",E42&lt;7,"Avg",E42&lt;6,"Below Avg")</f>
        <v>Best</v>
      </c>
      <c r="I42">
        <v>95</v>
      </c>
      <c r="K42" s="3">
        <v>29765490</v>
      </c>
      <c r="L42" s="3">
        <v>22843660</v>
      </c>
      <c r="M42" s="3">
        <f t="shared" si="2"/>
        <v>6921830</v>
      </c>
      <c r="N42" t="s">
        <v>1958</v>
      </c>
      <c r="O42" t="s">
        <v>1959</v>
      </c>
      <c r="P42" t="s">
        <v>11</v>
      </c>
      <c r="Q42" t="str">
        <f t="shared" si="3"/>
        <v>Kid</v>
      </c>
    </row>
    <row r="43" spans="1:17" x14ac:dyDescent="0.3">
      <c r="A43" t="s">
        <v>1960</v>
      </c>
      <c r="B43">
        <v>2026</v>
      </c>
      <c r="C43" s="5" t="s">
        <v>499</v>
      </c>
      <c r="D43" t="s">
        <v>8</v>
      </c>
      <c r="E43" s="4">
        <v>9.1999999999999993</v>
      </c>
      <c r="F43" t="str">
        <f t="shared" si="0"/>
        <v>Watch</v>
      </c>
      <c r="G43" t="str">
        <f t="shared" si="1"/>
        <v>Best</v>
      </c>
      <c r="H43" t="str" cm="1">
        <f t="array" ref="H43">_xlfn.IFS(E43&gt;8,"Best",E43=7,"Good",E43&gt;7,"Good",E43&lt;7,"Avg",E43&lt;6,"Below Avg")</f>
        <v>Best</v>
      </c>
      <c r="I43">
        <v>164</v>
      </c>
      <c r="K43" s="3">
        <v>28995567</v>
      </c>
      <c r="L43" s="3">
        <v>22330378</v>
      </c>
      <c r="M43" s="3">
        <f t="shared" si="2"/>
        <v>6665189</v>
      </c>
      <c r="N43" t="s">
        <v>1961</v>
      </c>
      <c r="O43" t="s">
        <v>1962</v>
      </c>
      <c r="P43" t="s">
        <v>11</v>
      </c>
      <c r="Q43" t="str">
        <f t="shared" si="3"/>
        <v>Kid</v>
      </c>
    </row>
    <row r="44" spans="1:17" x14ac:dyDescent="0.3">
      <c r="A44" t="s">
        <v>1963</v>
      </c>
      <c r="B44">
        <v>2026</v>
      </c>
      <c r="C44" s="5" t="s">
        <v>499</v>
      </c>
      <c r="D44" t="s">
        <v>19</v>
      </c>
      <c r="E44" s="4">
        <v>7</v>
      </c>
      <c r="F44" t="str">
        <f t="shared" si="0"/>
        <v>Watch</v>
      </c>
      <c r="G44" t="str">
        <f t="shared" si="1"/>
        <v>Avg</v>
      </c>
      <c r="H44" t="str" cm="1">
        <f t="array" ref="H44">_xlfn.IFS(E44&gt;8,"Best",E44=7,"Good",E44&gt;7,"Good",E44&lt;7,"Avg",E44&lt;6,"Below Avg")</f>
        <v>Good</v>
      </c>
      <c r="I44">
        <v>142</v>
      </c>
      <c r="K44" s="3">
        <v>26172516</v>
      </c>
      <c r="L44" s="3">
        <v>20448344</v>
      </c>
      <c r="M44" s="3">
        <f t="shared" si="2"/>
        <v>5724172</v>
      </c>
      <c r="O44" t="s">
        <v>768</v>
      </c>
      <c r="P44" t="s">
        <v>11</v>
      </c>
      <c r="Q44" t="str">
        <f t="shared" si="3"/>
        <v>Kid</v>
      </c>
    </row>
    <row r="45" spans="1:17" x14ac:dyDescent="0.3">
      <c r="A45" t="s">
        <v>1964</v>
      </c>
      <c r="B45">
        <v>2026</v>
      </c>
      <c r="C45" s="5" t="s">
        <v>499</v>
      </c>
      <c r="D45" t="s">
        <v>35</v>
      </c>
      <c r="E45" s="4">
        <v>6</v>
      </c>
      <c r="F45" t="str">
        <f t="shared" si="0"/>
        <v>Don't Watch</v>
      </c>
      <c r="G45" t="str">
        <f t="shared" si="1"/>
        <v>Avg</v>
      </c>
      <c r="H45" t="str" cm="1">
        <f t="array" ref="H45">_xlfn.IFS(E45&gt;8,"Best",E45=7,"Good",E45&gt;7,"Good",E45&lt;7,"Avg",E45&lt;6,"Below Avg")</f>
        <v>Avg</v>
      </c>
      <c r="I45">
        <v>150</v>
      </c>
      <c r="K45" s="3">
        <v>28448955</v>
      </c>
      <c r="L45" s="3">
        <v>21965970</v>
      </c>
      <c r="M45" s="3">
        <f t="shared" si="2"/>
        <v>6482985</v>
      </c>
      <c r="O45" t="s">
        <v>1965</v>
      </c>
      <c r="P45" t="s">
        <v>11</v>
      </c>
      <c r="Q45" t="str">
        <f t="shared" si="3"/>
        <v>Kid</v>
      </c>
    </row>
    <row r="46" spans="1:17" x14ac:dyDescent="0.3">
      <c r="A46" t="s">
        <v>1966</v>
      </c>
      <c r="B46">
        <v>2026</v>
      </c>
      <c r="C46" s="5" t="s">
        <v>499</v>
      </c>
      <c r="D46" t="s">
        <v>65</v>
      </c>
      <c r="E46" s="4">
        <v>8</v>
      </c>
      <c r="F46" t="str">
        <f t="shared" si="0"/>
        <v>Watch</v>
      </c>
      <c r="G46" t="str">
        <f t="shared" si="1"/>
        <v>Good</v>
      </c>
      <c r="H46" t="str" cm="1">
        <f t="array" ref="H46">_xlfn.IFS(E46&gt;8,"Best",E46=7,"Good",E46&gt;7,"Good",E46&lt;7,"Avg",E46&lt;6,"Below Avg")</f>
        <v>Good</v>
      </c>
      <c r="I46">
        <v>140</v>
      </c>
      <c r="K46" s="3">
        <v>27415725</v>
      </c>
      <c r="L46" s="3">
        <v>21277150</v>
      </c>
      <c r="M46" s="3">
        <f t="shared" si="2"/>
        <v>6138575</v>
      </c>
      <c r="N46" t="s">
        <v>1967</v>
      </c>
      <c r="O46" t="s">
        <v>1968</v>
      </c>
      <c r="P46" t="s">
        <v>11</v>
      </c>
      <c r="Q46" t="str">
        <f t="shared" si="3"/>
        <v>Kid</v>
      </c>
    </row>
    <row r="47" spans="1:17" x14ac:dyDescent="0.3">
      <c r="A47" t="s">
        <v>1969</v>
      </c>
      <c r="B47">
        <v>2026</v>
      </c>
      <c r="C47" s="5" t="s">
        <v>499</v>
      </c>
      <c r="D47" t="s">
        <v>8</v>
      </c>
      <c r="E47" s="4">
        <v>6.9</v>
      </c>
      <c r="F47" t="str">
        <f t="shared" si="0"/>
        <v>Watch</v>
      </c>
      <c r="G47" t="str">
        <f t="shared" si="1"/>
        <v>Avg</v>
      </c>
      <c r="H47" t="str" cm="1">
        <f t="array" ref="H47">_xlfn.IFS(E47&gt;8,"Best",E47=7,"Good",E47&gt;7,"Good",E47&lt;7,"Avg",E47&lt;6,"Below Avg")</f>
        <v>Avg</v>
      </c>
      <c r="I47">
        <v>147</v>
      </c>
      <c r="K47" s="3">
        <v>40687731</v>
      </c>
      <c r="L47" s="3">
        <v>30125154</v>
      </c>
      <c r="M47" s="3">
        <f t="shared" si="2"/>
        <v>10562577</v>
      </c>
      <c r="N47" t="s">
        <v>1970</v>
      </c>
      <c r="O47" t="s">
        <v>1215</v>
      </c>
      <c r="P47" t="s">
        <v>11</v>
      </c>
      <c r="Q47" t="str">
        <f t="shared" si="3"/>
        <v>Kid</v>
      </c>
    </row>
    <row r="48" spans="1:17" x14ac:dyDescent="0.3">
      <c r="A48" t="s">
        <v>1971</v>
      </c>
      <c r="B48">
        <v>2026</v>
      </c>
      <c r="C48" s="5" t="s">
        <v>499</v>
      </c>
      <c r="D48" t="s">
        <v>8</v>
      </c>
      <c r="E48" s="4">
        <v>8.4</v>
      </c>
      <c r="F48" t="str">
        <f t="shared" si="0"/>
        <v>Watch</v>
      </c>
      <c r="G48" t="str">
        <f t="shared" si="1"/>
        <v>Good</v>
      </c>
      <c r="H48" t="str" cm="1">
        <f t="array" ref="H48">_xlfn.IFS(E48&gt;8,"Best",E48=7,"Good",E48&gt;7,"Good",E48&lt;7,"Avg",E48&lt;6,"Below Avg")</f>
        <v>Best</v>
      </c>
      <c r="I48">
        <v>123</v>
      </c>
      <c r="K48" s="3">
        <v>26109189</v>
      </c>
      <c r="L48" s="3">
        <v>20406126</v>
      </c>
      <c r="M48" s="3">
        <f t="shared" si="2"/>
        <v>5703063</v>
      </c>
      <c r="O48" t="s">
        <v>1972</v>
      </c>
      <c r="P48" t="s">
        <v>11</v>
      </c>
      <c r="Q48" t="str">
        <f t="shared" si="3"/>
        <v>Kid</v>
      </c>
    </row>
    <row r="49" spans="1:17" x14ac:dyDescent="0.3">
      <c r="A49" t="s">
        <v>1975</v>
      </c>
      <c r="B49">
        <v>2026</v>
      </c>
      <c r="C49" s="5" t="s">
        <v>499</v>
      </c>
      <c r="D49" t="s">
        <v>23</v>
      </c>
      <c r="E49" s="4">
        <v>8.9</v>
      </c>
      <c r="F49" t="str">
        <f t="shared" si="0"/>
        <v>Watch</v>
      </c>
      <c r="G49" t="str">
        <f t="shared" si="1"/>
        <v>Best</v>
      </c>
      <c r="H49" t="str" cm="1">
        <f t="array" ref="H49">_xlfn.IFS(E49&gt;8,"Best",E49=7,"Good",E49&gt;7,"Good",E49&lt;7,"Avg",E49&lt;6,"Below Avg")</f>
        <v>Best</v>
      </c>
      <c r="I49">
        <v>149</v>
      </c>
      <c r="K49" s="3">
        <v>30195447</v>
      </c>
      <c r="L49" s="3">
        <v>23130298</v>
      </c>
      <c r="M49" s="3">
        <f t="shared" si="2"/>
        <v>7065149</v>
      </c>
      <c r="O49" t="s">
        <v>862</v>
      </c>
      <c r="P49" t="s">
        <v>11</v>
      </c>
      <c r="Q49" t="str">
        <f t="shared" si="3"/>
        <v>Kid</v>
      </c>
    </row>
    <row r="50" spans="1:17" x14ac:dyDescent="0.3">
      <c r="A50" t="s">
        <v>1976</v>
      </c>
      <c r="B50">
        <v>2026</v>
      </c>
      <c r="C50" s="5" t="s">
        <v>499</v>
      </c>
      <c r="D50" t="s">
        <v>19</v>
      </c>
      <c r="E50" s="4">
        <v>6.3</v>
      </c>
      <c r="F50" t="str">
        <f t="shared" si="0"/>
        <v>Don't Watch</v>
      </c>
      <c r="G50" t="str">
        <f t="shared" si="1"/>
        <v>Avg</v>
      </c>
      <c r="H50" t="str" cm="1">
        <f t="array" ref="H50">_xlfn.IFS(E50&gt;8,"Best",E50=7,"Good",E50&gt;7,"Good",E50&lt;7,"Avg",E50&lt;6,"Below Avg")</f>
        <v>Avg</v>
      </c>
      <c r="I50">
        <v>117</v>
      </c>
      <c r="K50" s="3">
        <v>29338866</v>
      </c>
      <c r="L50" s="3">
        <v>22559244</v>
      </c>
      <c r="M50" s="3">
        <f t="shared" si="2"/>
        <v>6779622</v>
      </c>
      <c r="N50" t="s">
        <v>1977</v>
      </c>
      <c r="O50" t="s">
        <v>838</v>
      </c>
      <c r="P50" t="s">
        <v>11</v>
      </c>
      <c r="Q50" t="str">
        <f t="shared" si="3"/>
        <v>Kid</v>
      </c>
    </row>
    <row r="51" spans="1:17" x14ac:dyDescent="0.3">
      <c r="A51" t="s">
        <v>1980</v>
      </c>
      <c r="B51">
        <v>2026</v>
      </c>
      <c r="C51" s="5" t="s">
        <v>499</v>
      </c>
      <c r="D51" t="s">
        <v>19</v>
      </c>
      <c r="E51" s="4">
        <v>9.1999999999999993</v>
      </c>
      <c r="F51" t="str">
        <f t="shared" si="0"/>
        <v>Watch</v>
      </c>
      <c r="G51" t="str">
        <f t="shared" si="1"/>
        <v>Best</v>
      </c>
      <c r="H51" t="str" cm="1">
        <f t="array" ref="H51">_xlfn.IFS(E51&gt;8,"Best",E51=7,"Good",E51&gt;7,"Good",E51&lt;7,"Avg",E51&lt;6,"Below Avg")</f>
        <v>Best</v>
      </c>
      <c r="I51">
        <v>137</v>
      </c>
      <c r="K51" s="3">
        <v>26905776</v>
      </c>
      <c r="L51" s="3">
        <v>20937184</v>
      </c>
      <c r="M51" s="3">
        <f t="shared" si="2"/>
        <v>5968592</v>
      </c>
      <c r="N51" t="s">
        <v>1981</v>
      </c>
      <c r="O51" t="s">
        <v>1982</v>
      </c>
      <c r="P51" t="s">
        <v>11</v>
      </c>
      <c r="Q51" t="str">
        <f t="shared" si="3"/>
        <v>Kid</v>
      </c>
    </row>
    <row r="52" spans="1:17" x14ac:dyDescent="0.3">
      <c r="A52" t="s">
        <v>1983</v>
      </c>
      <c r="B52">
        <v>2026</v>
      </c>
      <c r="C52" s="5" t="s">
        <v>499</v>
      </c>
      <c r="D52" t="s">
        <v>354</v>
      </c>
      <c r="E52" s="4">
        <v>7.4</v>
      </c>
      <c r="F52" t="str">
        <f t="shared" si="0"/>
        <v>Watch</v>
      </c>
      <c r="G52" t="str">
        <f t="shared" si="1"/>
        <v>Good</v>
      </c>
      <c r="H52" t="str" cm="1">
        <f t="array" ref="H52">_xlfn.IFS(E52&gt;8,"Best",E52=7,"Good",E52&gt;7,"Good",E52&lt;7,"Avg",E52&lt;6,"Below Avg")</f>
        <v>Good</v>
      </c>
      <c r="I52">
        <v>122</v>
      </c>
      <c r="K52" s="3">
        <v>31355331</v>
      </c>
      <c r="L52" s="3">
        <v>23903554</v>
      </c>
      <c r="M52" s="3">
        <f t="shared" si="2"/>
        <v>7451777</v>
      </c>
      <c r="N52" t="s">
        <v>1984</v>
      </c>
      <c r="O52" t="s">
        <v>1985</v>
      </c>
      <c r="P52" t="s">
        <v>11</v>
      </c>
      <c r="Q52" t="str">
        <f t="shared" si="3"/>
        <v>Kid</v>
      </c>
    </row>
    <row r="53" spans="1:17" x14ac:dyDescent="0.3">
      <c r="A53" t="s">
        <v>1989</v>
      </c>
      <c r="B53">
        <v>2026</v>
      </c>
      <c r="C53" s="5" t="s">
        <v>499</v>
      </c>
      <c r="D53" t="s">
        <v>93</v>
      </c>
      <c r="E53" s="4">
        <v>6.4</v>
      </c>
      <c r="F53" t="str">
        <f t="shared" si="0"/>
        <v>Don't Watch</v>
      </c>
      <c r="G53" t="str">
        <f t="shared" si="1"/>
        <v>Avg</v>
      </c>
      <c r="H53" t="str" cm="1">
        <f t="array" ref="H53">_xlfn.IFS(E53&gt;8,"Best",E53=7,"Good",E53&gt;7,"Good",E53&lt;7,"Avg",E53&lt;6,"Below Avg")</f>
        <v>Avg</v>
      </c>
      <c r="I53">
        <v>160</v>
      </c>
      <c r="K53" s="3">
        <v>29232210</v>
      </c>
      <c r="L53" s="3">
        <v>22488140</v>
      </c>
      <c r="M53" s="3">
        <f t="shared" si="2"/>
        <v>6744070</v>
      </c>
      <c r="N53" t="s">
        <v>1990</v>
      </c>
      <c r="O53" t="s">
        <v>1991</v>
      </c>
      <c r="P53" t="s">
        <v>11</v>
      </c>
      <c r="Q53" t="str">
        <f t="shared" si="3"/>
        <v>Kid</v>
      </c>
    </row>
    <row r="54" spans="1:17" x14ac:dyDescent="0.3">
      <c r="A54" t="s">
        <v>1992</v>
      </c>
      <c r="B54">
        <v>2026</v>
      </c>
      <c r="C54" s="5" t="s">
        <v>499</v>
      </c>
      <c r="D54" t="s">
        <v>27</v>
      </c>
      <c r="E54" s="4">
        <v>8.1999999999999993</v>
      </c>
      <c r="F54" t="str">
        <f t="shared" si="0"/>
        <v>Watch</v>
      </c>
      <c r="G54" t="str">
        <f t="shared" si="1"/>
        <v>Good</v>
      </c>
      <c r="H54" t="str" cm="1">
        <f t="array" ref="H54">_xlfn.IFS(E54&gt;8,"Best",E54=7,"Good",E54&gt;7,"Good",E54&lt;7,"Avg",E54&lt;6,"Below Avg")</f>
        <v>Best</v>
      </c>
      <c r="I54">
        <v>145</v>
      </c>
      <c r="K54" s="3">
        <v>26432490</v>
      </c>
      <c r="L54" s="3">
        <v>20621660</v>
      </c>
      <c r="M54" s="3">
        <f t="shared" si="2"/>
        <v>5810830</v>
      </c>
      <c r="O54" t="s">
        <v>1880</v>
      </c>
      <c r="P54" t="s">
        <v>11</v>
      </c>
      <c r="Q54" t="str">
        <f t="shared" si="3"/>
        <v>Kid</v>
      </c>
    </row>
    <row r="55" spans="1:17" x14ac:dyDescent="0.3">
      <c r="A55" t="s">
        <v>1993</v>
      </c>
      <c r="B55">
        <v>2026</v>
      </c>
      <c r="C55" s="5" t="s">
        <v>499</v>
      </c>
      <c r="D55" t="s">
        <v>27</v>
      </c>
      <c r="E55" s="4">
        <v>6.2</v>
      </c>
      <c r="F55" t="str">
        <f t="shared" si="0"/>
        <v>Don't Watch</v>
      </c>
      <c r="G55" t="str">
        <f t="shared" si="1"/>
        <v>Avg</v>
      </c>
      <c r="H55" t="str" cm="1">
        <f t="array" ref="H55">_xlfn.IFS(E55&gt;8,"Best",E55=7,"Good",E55&gt;7,"Good",E55&lt;7,"Avg",E55&lt;6,"Below Avg")</f>
        <v>Avg</v>
      </c>
      <c r="I55">
        <v>116</v>
      </c>
      <c r="K55" s="3">
        <v>29335533</v>
      </c>
      <c r="L55" s="3">
        <v>22557022</v>
      </c>
      <c r="M55" s="3">
        <f t="shared" si="2"/>
        <v>6778511</v>
      </c>
      <c r="N55" t="s">
        <v>1994</v>
      </c>
      <c r="O55" t="s">
        <v>1995</v>
      </c>
      <c r="P55" t="s">
        <v>11</v>
      </c>
      <c r="Q55" t="str">
        <f t="shared" si="3"/>
        <v>Kid</v>
      </c>
    </row>
    <row r="56" spans="1:17" x14ac:dyDescent="0.3">
      <c r="A56" t="s">
        <v>1996</v>
      </c>
      <c r="B56">
        <v>2026</v>
      </c>
      <c r="C56" s="5" t="s">
        <v>499</v>
      </c>
      <c r="D56" t="s">
        <v>8</v>
      </c>
      <c r="E56" s="4">
        <v>6.6</v>
      </c>
      <c r="F56" t="str">
        <f t="shared" si="0"/>
        <v>Watch</v>
      </c>
      <c r="G56" t="str">
        <f t="shared" si="1"/>
        <v>Avg</v>
      </c>
      <c r="H56" t="str" cm="1">
        <f t="array" ref="H56">_xlfn.IFS(E56&gt;8,"Best",E56=7,"Good",E56&gt;7,"Good",E56&lt;7,"Avg",E56&lt;6,"Below Avg")</f>
        <v>Avg</v>
      </c>
      <c r="I56">
        <v>135</v>
      </c>
      <c r="K56" s="3">
        <v>32648535</v>
      </c>
      <c r="L56" s="3">
        <v>24765690</v>
      </c>
      <c r="M56" s="3">
        <f t="shared" si="2"/>
        <v>7882845</v>
      </c>
      <c r="O56" t="s">
        <v>413</v>
      </c>
      <c r="P56" t="s">
        <v>11</v>
      </c>
      <c r="Q56" t="str">
        <f t="shared" si="3"/>
        <v>Kid</v>
      </c>
    </row>
    <row r="57" spans="1:17" x14ac:dyDescent="0.3">
      <c r="A57" t="s">
        <v>2126</v>
      </c>
      <c r="B57">
        <v>2026</v>
      </c>
      <c r="C57" s="5" t="s">
        <v>767</v>
      </c>
      <c r="D57" t="s">
        <v>27</v>
      </c>
      <c r="E57" s="4">
        <v>8.9</v>
      </c>
      <c r="F57" t="str">
        <f t="shared" si="0"/>
        <v>Watch</v>
      </c>
      <c r="G57" t="str">
        <f t="shared" si="1"/>
        <v>Best</v>
      </c>
      <c r="H57" t="str" cm="1">
        <f t="array" ref="H57">_xlfn.IFS(E57&gt;8,"Best",E57=7,"Good",E57&gt;7,"Good",E57&lt;7,"Avg",E57&lt;6,"Below Avg")</f>
        <v>Best</v>
      </c>
      <c r="I57">
        <v>98</v>
      </c>
      <c r="K57" s="3">
        <v>30525414</v>
      </c>
      <c r="L57" s="3">
        <v>23350276</v>
      </c>
      <c r="M57" s="3">
        <f t="shared" si="2"/>
        <v>7175138</v>
      </c>
      <c r="N57" t="s">
        <v>1846</v>
      </c>
      <c r="O57" t="s">
        <v>2127</v>
      </c>
      <c r="P57" t="s">
        <v>11</v>
      </c>
      <c r="Q57" t="str">
        <f t="shared" si="3"/>
        <v>Kid</v>
      </c>
    </row>
    <row r="58" spans="1:17" x14ac:dyDescent="0.3">
      <c r="A58" t="s">
        <v>2128</v>
      </c>
      <c r="B58">
        <v>2026</v>
      </c>
      <c r="C58" s="5" t="s">
        <v>767</v>
      </c>
      <c r="D58" t="s">
        <v>304</v>
      </c>
      <c r="E58" s="4">
        <v>7.7</v>
      </c>
      <c r="F58" t="str">
        <f t="shared" si="0"/>
        <v>Watch</v>
      </c>
      <c r="G58" t="str">
        <f t="shared" si="1"/>
        <v>Good</v>
      </c>
      <c r="H58" t="str" cm="1">
        <f t="array" ref="H58">_xlfn.IFS(E58&gt;8,"Best",E58=7,"Good",E58&gt;7,"Good",E58&lt;7,"Avg",E58&lt;6,"Below Avg")</f>
        <v>Good</v>
      </c>
      <c r="I58">
        <v>98</v>
      </c>
      <c r="K58" s="3">
        <v>29275539</v>
      </c>
      <c r="L58" s="3">
        <v>22517026</v>
      </c>
      <c r="M58" s="3">
        <f t="shared" si="2"/>
        <v>6758513</v>
      </c>
      <c r="N58" t="s">
        <v>2129</v>
      </c>
      <c r="O58" t="s">
        <v>315</v>
      </c>
      <c r="P58" t="s">
        <v>11</v>
      </c>
      <c r="Q58" t="str">
        <f t="shared" si="3"/>
        <v>Kid</v>
      </c>
    </row>
    <row r="59" spans="1:17" x14ac:dyDescent="0.3">
      <c r="A59" t="s">
        <v>2134</v>
      </c>
      <c r="B59">
        <v>2026</v>
      </c>
      <c r="C59" s="5" t="s">
        <v>767</v>
      </c>
      <c r="D59" t="s">
        <v>85</v>
      </c>
      <c r="E59" s="4">
        <v>6.6</v>
      </c>
      <c r="F59" t="str">
        <f t="shared" si="0"/>
        <v>Watch</v>
      </c>
      <c r="G59" t="str">
        <f t="shared" si="1"/>
        <v>Avg</v>
      </c>
      <c r="H59" t="str" cm="1">
        <f t="array" ref="H59">_xlfn.IFS(E59&gt;8,"Best",E59=7,"Good",E59&gt;7,"Good",E59&lt;7,"Avg",E59&lt;6,"Below Avg")</f>
        <v>Avg</v>
      </c>
      <c r="I59">
        <v>159</v>
      </c>
      <c r="K59" s="3">
        <v>40798420</v>
      </c>
      <c r="L59" s="3">
        <v>11509496</v>
      </c>
      <c r="M59" s="3">
        <f t="shared" si="2"/>
        <v>29288924</v>
      </c>
      <c r="N59" t="s">
        <v>2135</v>
      </c>
      <c r="O59" t="s">
        <v>932</v>
      </c>
      <c r="P59" t="s">
        <v>4</v>
      </c>
      <c r="Q59" t="str">
        <f t="shared" si="3"/>
        <v>Adult</v>
      </c>
    </row>
    <row r="60" spans="1:17" x14ac:dyDescent="0.3">
      <c r="A60" t="s">
        <v>2140</v>
      </c>
      <c r="B60">
        <v>2026</v>
      </c>
      <c r="C60" s="5" t="s">
        <v>767</v>
      </c>
      <c r="D60" t="s">
        <v>116</v>
      </c>
      <c r="E60" s="4">
        <v>7.3</v>
      </c>
      <c r="F60" t="str">
        <f t="shared" si="0"/>
        <v>Watch</v>
      </c>
      <c r="G60" t="str">
        <f t="shared" si="1"/>
        <v>Good</v>
      </c>
      <c r="H60" t="str" cm="1">
        <f t="array" ref="H60">_xlfn.IFS(E60&gt;8,"Best",E60=7,"Good",E60&gt;7,"Good",E60&lt;7,"Avg",E60&lt;6,"Below Avg")</f>
        <v>Good</v>
      </c>
      <c r="I60">
        <v>115</v>
      </c>
      <c r="K60" s="3">
        <v>496602375</v>
      </c>
      <c r="L60" s="3">
        <v>166311775</v>
      </c>
      <c r="M60" s="3">
        <f t="shared" si="2"/>
        <v>330290600</v>
      </c>
      <c r="N60" t="s">
        <v>2141</v>
      </c>
      <c r="O60" t="s">
        <v>2142</v>
      </c>
      <c r="P60" t="s">
        <v>11</v>
      </c>
      <c r="Q60" t="str">
        <f t="shared" si="3"/>
        <v>Kid</v>
      </c>
    </row>
    <row r="61" spans="1:17" x14ac:dyDescent="0.3">
      <c r="A61" t="s">
        <v>2145</v>
      </c>
      <c r="B61">
        <v>2026</v>
      </c>
      <c r="C61" s="5" t="s">
        <v>767</v>
      </c>
      <c r="D61" t="s">
        <v>93</v>
      </c>
      <c r="E61" s="4">
        <v>8.6</v>
      </c>
      <c r="F61" t="str">
        <f t="shared" si="0"/>
        <v>Watch</v>
      </c>
      <c r="G61" t="str">
        <f t="shared" si="1"/>
        <v>Best</v>
      </c>
      <c r="H61" t="str" cm="1">
        <f t="array" ref="H61">_xlfn.IFS(E61&gt;8,"Best",E61=7,"Good",E61&gt;7,"Good",E61&lt;7,"Avg",E61&lt;6,"Below Avg")</f>
        <v>Best</v>
      </c>
      <c r="I61">
        <v>134</v>
      </c>
      <c r="K61" s="3">
        <v>31395327</v>
      </c>
      <c r="L61" s="3">
        <v>23930218</v>
      </c>
      <c r="M61" s="3">
        <f t="shared" si="2"/>
        <v>7465109</v>
      </c>
      <c r="N61" t="s">
        <v>2146</v>
      </c>
      <c r="O61" t="s">
        <v>2147</v>
      </c>
      <c r="P61" t="s">
        <v>11</v>
      </c>
      <c r="Q61" t="str">
        <f t="shared" si="3"/>
        <v>Kid</v>
      </c>
    </row>
    <row r="62" spans="1:17" x14ac:dyDescent="0.3">
      <c r="A62" t="s">
        <v>2148</v>
      </c>
      <c r="B62">
        <v>2026</v>
      </c>
      <c r="C62" s="5" t="s">
        <v>767</v>
      </c>
      <c r="D62" t="s">
        <v>8</v>
      </c>
      <c r="E62" s="4">
        <v>8.6</v>
      </c>
      <c r="F62" t="str">
        <f t="shared" si="0"/>
        <v>Watch</v>
      </c>
      <c r="G62" t="str">
        <f t="shared" si="1"/>
        <v>Best</v>
      </c>
      <c r="H62" t="str" cm="1">
        <f t="array" ref="H62">_xlfn.IFS(E62&gt;8,"Best",E62=7,"Good",E62&gt;7,"Good",E62&lt;7,"Avg",E62&lt;6,"Below Avg")</f>
        <v>Best</v>
      </c>
      <c r="I62">
        <v>128</v>
      </c>
      <c r="K62" s="3">
        <v>30625404</v>
      </c>
      <c r="L62" s="3">
        <v>23416936</v>
      </c>
      <c r="M62" s="3">
        <f t="shared" si="2"/>
        <v>7208468</v>
      </c>
      <c r="N62" t="s">
        <v>722</v>
      </c>
      <c r="O62" t="s">
        <v>2149</v>
      </c>
      <c r="P62" t="s">
        <v>11</v>
      </c>
      <c r="Q62" t="str">
        <f t="shared" si="3"/>
        <v>Kid</v>
      </c>
    </row>
    <row r="63" spans="1:17" x14ac:dyDescent="0.3">
      <c r="A63" t="s">
        <v>2130</v>
      </c>
      <c r="B63">
        <v>2026</v>
      </c>
      <c r="C63" s="5" t="s">
        <v>767</v>
      </c>
      <c r="D63" t="s">
        <v>27</v>
      </c>
      <c r="E63" s="4">
        <v>7.5</v>
      </c>
      <c r="F63" t="str">
        <f t="shared" si="0"/>
        <v>Watch</v>
      </c>
      <c r="G63" t="str">
        <f t="shared" si="1"/>
        <v>Good</v>
      </c>
      <c r="H63" t="str" cm="1">
        <f t="array" ref="H63">_xlfn.IFS(E63&gt;8,"Best",E63=7,"Good",E63&gt;7,"Good",E63&lt;7,"Avg",E63&lt;6,"Below Avg")</f>
        <v>Good</v>
      </c>
      <c r="I63">
        <v>147</v>
      </c>
      <c r="K63" s="3">
        <v>28938906</v>
      </c>
      <c r="L63" s="3">
        <v>22292604</v>
      </c>
      <c r="M63" s="3">
        <f t="shared" si="2"/>
        <v>6646302</v>
      </c>
      <c r="O63" t="s">
        <v>2131</v>
      </c>
      <c r="P63" t="s">
        <v>11</v>
      </c>
      <c r="Q63" t="str">
        <f t="shared" si="3"/>
        <v>Kid</v>
      </c>
    </row>
    <row r="64" spans="1:17" x14ac:dyDescent="0.3">
      <c r="A64" t="s">
        <v>2132</v>
      </c>
      <c r="B64">
        <v>2026</v>
      </c>
      <c r="C64" s="5" t="s">
        <v>767</v>
      </c>
      <c r="D64" t="s">
        <v>65</v>
      </c>
      <c r="E64" s="4">
        <v>7.4</v>
      </c>
      <c r="F64" t="str">
        <f t="shared" si="0"/>
        <v>Watch</v>
      </c>
      <c r="G64" t="str">
        <f t="shared" si="1"/>
        <v>Good</v>
      </c>
      <c r="H64" t="str" cm="1">
        <f t="array" ref="H64">_xlfn.IFS(E64&gt;8,"Best",E64=7,"Good",E64&gt;7,"Good",E64&lt;7,"Avg",E64&lt;6,"Below Avg")</f>
        <v>Good</v>
      </c>
      <c r="I64">
        <v>161</v>
      </c>
      <c r="K64" s="3">
        <v>26735793</v>
      </c>
      <c r="L64" s="3">
        <v>20823862</v>
      </c>
      <c r="M64" s="3">
        <f t="shared" si="2"/>
        <v>5911931</v>
      </c>
      <c r="N64" t="s">
        <v>2133</v>
      </c>
      <c r="O64" t="s">
        <v>1100</v>
      </c>
      <c r="P64" t="s">
        <v>11</v>
      </c>
      <c r="Q64" t="str">
        <f t="shared" si="3"/>
        <v>Kid</v>
      </c>
    </row>
    <row r="65" spans="1:17" x14ac:dyDescent="0.3">
      <c r="A65" t="s">
        <v>2136</v>
      </c>
      <c r="B65">
        <v>2026</v>
      </c>
      <c r="C65" s="5" t="s">
        <v>767</v>
      </c>
      <c r="D65" t="s">
        <v>148</v>
      </c>
      <c r="E65" s="4">
        <v>8.5</v>
      </c>
      <c r="F65" t="str">
        <f t="shared" si="0"/>
        <v>Watch</v>
      </c>
      <c r="G65" t="str">
        <f t="shared" si="1"/>
        <v>Good</v>
      </c>
      <c r="H65" t="str" cm="1">
        <f t="array" ref="H65">_xlfn.IFS(E65&gt;8,"Best",E65=7,"Good",E65&gt;7,"Good",E65&lt;7,"Avg",E65&lt;6,"Below Avg")</f>
        <v>Best</v>
      </c>
      <c r="I65">
        <v>121</v>
      </c>
      <c r="K65" s="3">
        <v>40170705</v>
      </c>
      <c r="L65" s="3">
        <v>11370054</v>
      </c>
      <c r="M65" s="3">
        <f t="shared" si="2"/>
        <v>28800651</v>
      </c>
      <c r="N65" t="s">
        <v>2137</v>
      </c>
      <c r="O65" t="s">
        <v>187</v>
      </c>
      <c r="P65" t="s">
        <v>4</v>
      </c>
      <c r="Q65" t="str">
        <f t="shared" si="3"/>
        <v>Adult</v>
      </c>
    </row>
    <row r="66" spans="1:17" x14ac:dyDescent="0.3">
      <c r="A66" t="s">
        <v>2138</v>
      </c>
      <c r="B66">
        <v>2026</v>
      </c>
      <c r="C66" s="5" t="s">
        <v>767</v>
      </c>
      <c r="D66" t="s">
        <v>8</v>
      </c>
      <c r="E66" s="4">
        <v>8</v>
      </c>
      <c r="F66" t="str">
        <f t="shared" ref="F66:F129" si="4">IF(E66&gt;6.5,"Watch","Don't Watch")</f>
        <v>Watch</v>
      </c>
      <c r="G66" t="str">
        <f t="shared" ref="G66:G129" si="5">IF(E66&gt;8.5,"Best",IF(E66&gt;7,"Good",IF(E66&gt;5,"Avg",IF(E66&lt;5,"Below Avg",IF(E66&lt;3,"Bad",)))))</f>
        <v>Good</v>
      </c>
      <c r="H66" t="str" cm="1">
        <f t="array" ref="H66">_xlfn.IFS(E66&gt;8,"Best",E66=7,"Good",E66&gt;7,"Good",E66&lt;7,"Avg",E66&lt;6,"Below Avg")</f>
        <v>Good</v>
      </c>
      <c r="I66">
        <v>149</v>
      </c>
      <c r="K66" s="3">
        <v>27195747</v>
      </c>
      <c r="L66" s="3">
        <v>21130498</v>
      </c>
      <c r="M66" s="3">
        <f t="shared" ref="M66:M129" si="6" xml:space="preserve"> (K66-L66)</f>
        <v>6065249</v>
      </c>
      <c r="N66" t="s">
        <v>2139</v>
      </c>
      <c r="O66" t="s">
        <v>1783</v>
      </c>
      <c r="P66" t="s">
        <v>11</v>
      </c>
      <c r="Q66" t="str">
        <f t="shared" ref="Q66:Q129" si="7">IF(P66="R","Adult","Kid")</f>
        <v>Kid</v>
      </c>
    </row>
    <row r="67" spans="1:17" x14ac:dyDescent="0.3">
      <c r="A67" t="s">
        <v>2143</v>
      </c>
      <c r="B67">
        <v>2026</v>
      </c>
      <c r="C67" s="5" t="s">
        <v>767</v>
      </c>
      <c r="D67" t="s">
        <v>27</v>
      </c>
      <c r="E67" s="4">
        <v>8.3000000000000007</v>
      </c>
      <c r="F67" t="str">
        <f t="shared" si="4"/>
        <v>Watch</v>
      </c>
      <c r="G67" t="str">
        <f t="shared" si="5"/>
        <v>Good</v>
      </c>
      <c r="H67" t="str" cm="1">
        <f t="array" ref="H67">_xlfn.IFS(E67&gt;8,"Best",E67=7,"Good",E67&gt;7,"Good",E67&lt;7,"Avg",E67&lt;6,"Below Avg")</f>
        <v>Best</v>
      </c>
      <c r="I67">
        <v>95</v>
      </c>
      <c r="K67" s="3">
        <v>492651975</v>
      </c>
      <c r="L67" s="3">
        <v>164929055</v>
      </c>
      <c r="M67" s="3">
        <f t="shared" si="6"/>
        <v>327722920</v>
      </c>
      <c r="O67" t="s">
        <v>164</v>
      </c>
      <c r="P67" t="s">
        <v>11</v>
      </c>
      <c r="Q67" t="str">
        <f t="shared" si="7"/>
        <v>Kid</v>
      </c>
    </row>
    <row r="68" spans="1:17" x14ac:dyDescent="0.3">
      <c r="A68" t="s">
        <v>2144</v>
      </c>
      <c r="B68">
        <v>2026</v>
      </c>
      <c r="C68" s="5" t="s">
        <v>767</v>
      </c>
      <c r="D68" t="s">
        <v>93</v>
      </c>
      <c r="E68" s="4">
        <v>8.6999999999999993</v>
      </c>
      <c r="F68" t="str">
        <f t="shared" si="4"/>
        <v>Watch</v>
      </c>
      <c r="G68" t="str">
        <f t="shared" si="5"/>
        <v>Best</v>
      </c>
      <c r="H68" t="str" cm="1">
        <f t="array" ref="H68">_xlfn.IFS(E68&gt;8,"Best",E68=7,"Good",E68&gt;7,"Good",E68&lt;7,"Avg",E68&lt;6,"Below Avg")</f>
        <v>Best</v>
      </c>
      <c r="I68">
        <v>156</v>
      </c>
      <c r="K68" s="3">
        <v>27219078</v>
      </c>
      <c r="L68" s="3">
        <v>21146052</v>
      </c>
      <c r="M68" s="3">
        <f t="shared" si="6"/>
        <v>6073026</v>
      </c>
      <c r="O68" t="s">
        <v>737</v>
      </c>
      <c r="P68" t="s">
        <v>11</v>
      </c>
      <c r="Q68" t="str">
        <f t="shared" si="7"/>
        <v>Kid</v>
      </c>
    </row>
    <row r="69" spans="1:17" x14ac:dyDescent="0.3">
      <c r="A69" t="s">
        <v>2150</v>
      </c>
      <c r="B69">
        <v>2026</v>
      </c>
      <c r="C69" s="5" t="s">
        <v>767</v>
      </c>
      <c r="D69" t="s">
        <v>8</v>
      </c>
      <c r="E69" s="4">
        <v>6.2</v>
      </c>
      <c r="F69" t="str">
        <f t="shared" si="4"/>
        <v>Don't Watch</v>
      </c>
      <c r="G69" t="str">
        <f t="shared" si="5"/>
        <v>Avg</v>
      </c>
      <c r="H69" t="str" cm="1">
        <f t="array" ref="H69">_xlfn.IFS(E69&gt;8,"Best",E69=7,"Good",E69&gt;7,"Good",E69&lt;7,"Avg",E69&lt;6,"Below Avg")</f>
        <v>Avg</v>
      </c>
      <c r="I69">
        <v>164</v>
      </c>
      <c r="K69" s="3">
        <v>27245742</v>
      </c>
      <c r="L69" s="3">
        <v>21163828</v>
      </c>
      <c r="M69" s="3">
        <f t="shared" si="6"/>
        <v>6081914</v>
      </c>
      <c r="O69" t="s">
        <v>2151</v>
      </c>
      <c r="P69" t="s">
        <v>11</v>
      </c>
      <c r="Q69" t="str">
        <f t="shared" si="7"/>
        <v>Kid</v>
      </c>
    </row>
    <row r="70" spans="1:17" x14ac:dyDescent="0.3">
      <c r="A70" t="s">
        <v>2152</v>
      </c>
      <c r="B70">
        <v>2026</v>
      </c>
      <c r="C70" s="5" t="s">
        <v>767</v>
      </c>
      <c r="D70" t="s">
        <v>39</v>
      </c>
      <c r="E70" s="4">
        <v>6.3</v>
      </c>
      <c r="F70" t="str">
        <f t="shared" si="4"/>
        <v>Don't Watch</v>
      </c>
      <c r="G70" t="str">
        <f t="shared" si="5"/>
        <v>Avg</v>
      </c>
      <c r="H70" t="str" cm="1">
        <f t="array" ref="H70">_xlfn.IFS(E70&gt;8,"Best",E70=7,"Good",E70&gt;7,"Good",E70&lt;7,"Avg",E70&lt;6,"Below Avg")</f>
        <v>Avg</v>
      </c>
      <c r="I70">
        <v>147</v>
      </c>
      <c r="K70" s="3">
        <v>35938206</v>
      </c>
      <c r="L70" s="3">
        <v>26958804</v>
      </c>
      <c r="M70" s="3">
        <f t="shared" si="6"/>
        <v>8979402</v>
      </c>
      <c r="N70" t="s">
        <v>2153</v>
      </c>
      <c r="O70" t="s">
        <v>2154</v>
      </c>
      <c r="P70" t="s">
        <v>11</v>
      </c>
      <c r="Q70" t="str">
        <f t="shared" si="7"/>
        <v>Kid</v>
      </c>
    </row>
    <row r="71" spans="1:17" x14ac:dyDescent="0.3">
      <c r="A71" t="s">
        <v>2155</v>
      </c>
      <c r="B71">
        <v>2026</v>
      </c>
      <c r="C71" s="5" t="s">
        <v>767</v>
      </c>
      <c r="D71" t="s">
        <v>8</v>
      </c>
      <c r="E71" s="4">
        <v>6.6</v>
      </c>
      <c r="F71" t="str">
        <f t="shared" si="4"/>
        <v>Watch</v>
      </c>
      <c r="G71" t="str">
        <f t="shared" si="5"/>
        <v>Avg</v>
      </c>
      <c r="H71" t="str" cm="1">
        <f t="array" ref="H71">_xlfn.IFS(E71&gt;8,"Best",E71=7,"Good",E71&gt;7,"Good",E71&lt;7,"Avg",E71&lt;6,"Below Avg")</f>
        <v>Avg</v>
      </c>
      <c r="I71">
        <v>117</v>
      </c>
      <c r="K71" s="3">
        <v>30338766</v>
      </c>
      <c r="L71" s="3">
        <v>23225844</v>
      </c>
      <c r="M71" s="3">
        <f t="shared" si="6"/>
        <v>7112922</v>
      </c>
      <c r="N71" t="s">
        <v>2156</v>
      </c>
      <c r="O71" t="s">
        <v>2157</v>
      </c>
      <c r="P71" t="s">
        <v>11</v>
      </c>
      <c r="Q71" t="str">
        <f t="shared" si="7"/>
        <v>Kid</v>
      </c>
    </row>
    <row r="72" spans="1:17" x14ac:dyDescent="0.3">
      <c r="A72" t="s">
        <v>1552</v>
      </c>
      <c r="B72">
        <v>2026</v>
      </c>
      <c r="C72" s="5" t="s">
        <v>89</v>
      </c>
      <c r="D72" t="s">
        <v>8</v>
      </c>
      <c r="E72" s="4">
        <v>9.1</v>
      </c>
      <c r="F72" t="str">
        <f t="shared" si="4"/>
        <v>Watch</v>
      </c>
      <c r="G72" t="str">
        <f t="shared" si="5"/>
        <v>Best</v>
      </c>
      <c r="H72" t="str" cm="1">
        <f t="array" ref="H72">_xlfn.IFS(E72&gt;8,"Best",E72=7,"Good",E72&gt;7,"Good",E72&lt;7,"Avg",E72&lt;6,"Below Avg")</f>
        <v>Best</v>
      </c>
      <c r="I72">
        <v>91</v>
      </c>
      <c r="K72" s="3">
        <v>30752058</v>
      </c>
      <c r="L72" s="3">
        <v>23501372</v>
      </c>
      <c r="M72" s="3">
        <f t="shared" si="6"/>
        <v>7250686</v>
      </c>
      <c r="N72" t="s">
        <v>1553</v>
      </c>
      <c r="O72" t="s">
        <v>1554</v>
      </c>
      <c r="P72" t="s">
        <v>11</v>
      </c>
      <c r="Q72" t="str">
        <f t="shared" si="7"/>
        <v>Kid</v>
      </c>
    </row>
    <row r="73" spans="1:17" x14ac:dyDescent="0.3">
      <c r="A73" t="s">
        <v>1555</v>
      </c>
      <c r="B73">
        <v>2026</v>
      </c>
      <c r="C73" s="5" t="s">
        <v>89</v>
      </c>
      <c r="D73" t="s">
        <v>8</v>
      </c>
      <c r="E73" s="4">
        <v>6.4</v>
      </c>
      <c r="F73" t="str">
        <f t="shared" si="4"/>
        <v>Don't Watch</v>
      </c>
      <c r="G73" t="str">
        <f t="shared" si="5"/>
        <v>Avg</v>
      </c>
      <c r="H73" t="str" cm="1">
        <f t="array" ref="H73">_xlfn.IFS(E73&gt;8,"Best",E73=7,"Good",E73&gt;7,"Good",E73&lt;7,"Avg",E73&lt;6,"Below Avg")</f>
        <v>Avg</v>
      </c>
      <c r="I73">
        <v>139</v>
      </c>
      <c r="K73" s="3">
        <v>27912342</v>
      </c>
      <c r="L73" s="3">
        <v>21608228</v>
      </c>
      <c r="M73" s="3">
        <f t="shared" si="6"/>
        <v>6304114</v>
      </c>
      <c r="N73" t="s">
        <v>1556</v>
      </c>
      <c r="O73" t="s">
        <v>1373</v>
      </c>
      <c r="P73" t="s">
        <v>11</v>
      </c>
      <c r="Q73" t="str">
        <f t="shared" si="7"/>
        <v>Kid</v>
      </c>
    </row>
    <row r="74" spans="1:17" x14ac:dyDescent="0.3">
      <c r="A74" t="s">
        <v>1557</v>
      </c>
      <c r="B74">
        <v>2026</v>
      </c>
      <c r="C74" s="5" t="s">
        <v>89</v>
      </c>
      <c r="D74" t="s">
        <v>8</v>
      </c>
      <c r="E74" s="4">
        <v>8.6999999999999993</v>
      </c>
      <c r="F74" t="str">
        <f t="shared" si="4"/>
        <v>Watch</v>
      </c>
      <c r="G74" t="str">
        <f t="shared" si="5"/>
        <v>Best</v>
      </c>
      <c r="H74" t="str" cm="1">
        <f t="array" ref="H74">_xlfn.IFS(E74&gt;8,"Best",E74=7,"Good",E74&gt;7,"Good",E74&lt;7,"Avg",E74&lt;6,"Below Avg")</f>
        <v>Best</v>
      </c>
      <c r="I74">
        <v>159</v>
      </c>
      <c r="K74" s="3">
        <v>59225877</v>
      </c>
      <c r="L74" s="3">
        <v>42483918</v>
      </c>
      <c r="M74" s="3">
        <f t="shared" si="6"/>
        <v>16741959</v>
      </c>
      <c r="N74" t="s">
        <v>16</v>
      </c>
      <c r="O74" t="s">
        <v>336</v>
      </c>
      <c r="P74" t="s">
        <v>11</v>
      </c>
      <c r="Q74" t="str">
        <f t="shared" si="7"/>
        <v>Kid</v>
      </c>
    </row>
    <row r="75" spans="1:17" x14ac:dyDescent="0.3">
      <c r="A75" t="s">
        <v>1568</v>
      </c>
      <c r="B75">
        <v>2026</v>
      </c>
      <c r="C75" s="5" t="s">
        <v>89</v>
      </c>
      <c r="D75" t="s">
        <v>85</v>
      </c>
      <c r="E75" s="4">
        <v>7.7</v>
      </c>
      <c r="F75" t="str">
        <f t="shared" si="4"/>
        <v>Watch</v>
      </c>
      <c r="G75" t="str">
        <f t="shared" si="5"/>
        <v>Good</v>
      </c>
      <c r="H75" t="str" cm="1">
        <f t="array" ref="H75">_xlfn.IFS(E75&gt;8,"Best",E75=7,"Good",E75&gt;7,"Good",E75&lt;7,"Avg",E75&lt;6,"Below Avg")</f>
        <v>Good</v>
      </c>
      <c r="I75">
        <v>149</v>
      </c>
      <c r="K75" s="3">
        <v>43242620</v>
      </c>
      <c r="L75" s="3">
        <v>12052456</v>
      </c>
      <c r="M75" s="3">
        <f t="shared" si="6"/>
        <v>31190164</v>
      </c>
      <c r="N75" t="s">
        <v>1569</v>
      </c>
      <c r="O75" t="s">
        <v>513</v>
      </c>
      <c r="P75" t="s">
        <v>4</v>
      </c>
      <c r="Q75" t="str">
        <f t="shared" si="7"/>
        <v>Adult</v>
      </c>
    </row>
    <row r="76" spans="1:17" x14ac:dyDescent="0.3">
      <c r="A76" t="s">
        <v>1588</v>
      </c>
      <c r="B76">
        <v>2026</v>
      </c>
      <c r="C76" s="5" t="s">
        <v>89</v>
      </c>
      <c r="D76" t="s">
        <v>8</v>
      </c>
      <c r="E76" s="4">
        <v>9.1999999999999993</v>
      </c>
      <c r="F76" t="str">
        <f t="shared" si="4"/>
        <v>Watch</v>
      </c>
      <c r="G76" t="str">
        <f t="shared" si="5"/>
        <v>Best</v>
      </c>
      <c r="H76" t="str" cm="1">
        <f t="array" ref="H76">_xlfn.IFS(E76&gt;8,"Best",E76=7,"Good",E76&gt;7,"Good",E76&lt;7,"Avg",E76&lt;6,"Below Avg")</f>
        <v>Best</v>
      </c>
      <c r="I76">
        <v>152</v>
      </c>
      <c r="K76" s="3">
        <v>27455721</v>
      </c>
      <c r="L76" s="3">
        <v>21303814</v>
      </c>
      <c r="M76" s="3">
        <f t="shared" si="6"/>
        <v>6151907</v>
      </c>
      <c r="N76" t="s">
        <v>1589</v>
      </c>
      <c r="O76" t="s">
        <v>1590</v>
      </c>
      <c r="P76" t="s">
        <v>11</v>
      </c>
      <c r="Q76" t="str">
        <f t="shared" si="7"/>
        <v>Kid</v>
      </c>
    </row>
    <row r="77" spans="1:17" x14ac:dyDescent="0.3">
      <c r="A77" t="s">
        <v>1593</v>
      </c>
      <c r="B77">
        <v>2026</v>
      </c>
      <c r="C77" s="5" t="s">
        <v>89</v>
      </c>
      <c r="D77" t="s">
        <v>27</v>
      </c>
      <c r="E77" s="4">
        <v>6.4</v>
      </c>
      <c r="F77" t="str">
        <f t="shared" si="4"/>
        <v>Don't Watch</v>
      </c>
      <c r="G77" t="str">
        <f t="shared" si="5"/>
        <v>Avg</v>
      </c>
      <c r="H77" t="str" cm="1">
        <f t="array" ref="H77">_xlfn.IFS(E77&gt;8,"Best",E77=7,"Good",E77&gt;7,"Good",E77&lt;7,"Avg",E77&lt;6,"Below Avg")</f>
        <v>Avg</v>
      </c>
      <c r="I77">
        <v>157</v>
      </c>
      <c r="K77" s="3">
        <v>30222111</v>
      </c>
      <c r="L77" s="3">
        <v>23148074</v>
      </c>
      <c r="M77" s="3">
        <f t="shared" si="6"/>
        <v>7074037</v>
      </c>
      <c r="N77" t="s">
        <v>1594</v>
      </c>
      <c r="O77" t="s">
        <v>1595</v>
      </c>
      <c r="P77" t="s">
        <v>11</v>
      </c>
      <c r="Q77" t="str">
        <f t="shared" si="7"/>
        <v>Kid</v>
      </c>
    </row>
    <row r="78" spans="1:17" x14ac:dyDescent="0.3">
      <c r="A78" t="s">
        <v>1603</v>
      </c>
      <c r="B78">
        <v>2026</v>
      </c>
      <c r="C78" s="5" t="s">
        <v>89</v>
      </c>
      <c r="D78" t="s">
        <v>19</v>
      </c>
      <c r="E78" s="4">
        <v>6.4</v>
      </c>
      <c r="F78" t="str">
        <f t="shared" si="4"/>
        <v>Don't Watch</v>
      </c>
      <c r="G78" t="str">
        <f t="shared" si="5"/>
        <v>Avg</v>
      </c>
      <c r="H78" t="str" cm="1">
        <f t="array" ref="H78">_xlfn.IFS(E78&gt;8,"Best",E78=7,"Good",E78&gt;7,"Good",E78&lt;7,"Avg",E78&lt;6,"Below Avg")</f>
        <v>Avg</v>
      </c>
      <c r="I78">
        <v>157</v>
      </c>
      <c r="K78" s="3">
        <v>27472386</v>
      </c>
      <c r="L78" s="3">
        <v>21314924</v>
      </c>
      <c r="M78" s="3">
        <f t="shared" si="6"/>
        <v>6157462</v>
      </c>
      <c r="O78" t="s">
        <v>1604</v>
      </c>
      <c r="P78" t="s">
        <v>11</v>
      </c>
      <c r="Q78" t="str">
        <f t="shared" si="7"/>
        <v>Kid</v>
      </c>
    </row>
    <row r="79" spans="1:17" x14ac:dyDescent="0.3">
      <c r="A79" t="s">
        <v>1605</v>
      </c>
      <c r="B79">
        <v>2026</v>
      </c>
      <c r="C79" s="5" t="s">
        <v>89</v>
      </c>
      <c r="D79" t="s">
        <v>65</v>
      </c>
      <c r="E79" s="4">
        <v>7</v>
      </c>
      <c r="F79" t="str">
        <f t="shared" si="4"/>
        <v>Watch</v>
      </c>
      <c r="G79" t="str">
        <f t="shared" si="5"/>
        <v>Avg</v>
      </c>
      <c r="H79" t="str" cm="1">
        <f t="array" ref="H79">_xlfn.IFS(E79&gt;8,"Best",E79=7,"Good",E79&gt;7,"Good",E79&lt;7,"Avg",E79&lt;6,"Below Avg")</f>
        <v>Good</v>
      </c>
      <c r="I79">
        <v>106</v>
      </c>
      <c r="K79" s="3">
        <v>27052428</v>
      </c>
      <c r="L79" s="3">
        <v>21034952</v>
      </c>
      <c r="M79" s="3">
        <f t="shared" si="6"/>
        <v>6017476</v>
      </c>
      <c r="O79" t="s">
        <v>1606</v>
      </c>
      <c r="P79" t="s">
        <v>11</v>
      </c>
      <c r="Q79" t="str">
        <f t="shared" si="7"/>
        <v>Kid</v>
      </c>
    </row>
    <row r="80" spans="1:17" x14ac:dyDescent="0.3">
      <c r="A80" t="s">
        <v>1558</v>
      </c>
      <c r="B80">
        <v>2026</v>
      </c>
      <c r="C80" s="5" t="s">
        <v>89</v>
      </c>
      <c r="D80" t="s">
        <v>85</v>
      </c>
      <c r="E80" s="4">
        <v>8.5</v>
      </c>
      <c r="F80" t="str">
        <f t="shared" si="4"/>
        <v>Watch</v>
      </c>
      <c r="G80" t="str">
        <f t="shared" si="5"/>
        <v>Good</v>
      </c>
      <c r="H80" t="str" cm="1">
        <f t="array" ref="H80">_xlfn.IFS(E80&gt;8,"Best",E80=7,"Good",E80&gt;7,"Good",E80&lt;7,"Avg",E80&lt;6,"Below Avg")</f>
        <v>Best</v>
      </c>
      <c r="I80">
        <v>154</v>
      </c>
      <c r="K80" s="3">
        <v>40354020</v>
      </c>
      <c r="L80" s="3">
        <v>11410776</v>
      </c>
      <c r="M80" s="3">
        <f t="shared" si="6"/>
        <v>28943244</v>
      </c>
      <c r="N80" t="s">
        <v>1559</v>
      </c>
      <c r="O80" t="s">
        <v>1560</v>
      </c>
      <c r="P80" t="s">
        <v>4</v>
      </c>
      <c r="Q80" t="str">
        <f t="shared" si="7"/>
        <v>Adult</v>
      </c>
    </row>
    <row r="81" spans="1:17" x14ac:dyDescent="0.3">
      <c r="A81" t="s">
        <v>1561</v>
      </c>
      <c r="B81">
        <v>2026</v>
      </c>
      <c r="C81" s="5" t="s">
        <v>89</v>
      </c>
      <c r="D81" t="s">
        <v>39</v>
      </c>
      <c r="E81" s="4">
        <v>8.6999999999999993</v>
      </c>
      <c r="F81" t="str">
        <f t="shared" si="4"/>
        <v>Watch</v>
      </c>
      <c r="G81" t="str">
        <f t="shared" si="5"/>
        <v>Best</v>
      </c>
      <c r="H81" t="str" cm="1">
        <f t="array" ref="H81">_xlfn.IFS(E81&gt;8,"Best",E81=7,"Good",E81&gt;7,"Good",E81&lt;7,"Avg",E81&lt;6,"Below Avg")</f>
        <v>Best</v>
      </c>
      <c r="I81">
        <v>156</v>
      </c>
      <c r="K81" s="3">
        <v>27219078</v>
      </c>
      <c r="L81" s="3">
        <v>21146052</v>
      </c>
      <c r="M81" s="3">
        <f t="shared" si="6"/>
        <v>6073026</v>
      </c>
      <c r="N81" t="s">
        <v>1562</v>
      </c>
      <c r="O81" t="s">
        <v>1213</v>
      </c>
      <c r="P81" t="s">
        <v>11</v>
      </c>
      <c r="Q81" t="str">
        <f t="shared" si="7"/>
        <v>Kid</v>
      </c>
    </row>
    <row r="82" spans="1:17" x14ac:dyDescent="0.3">
      <c r="A82" t="s">
        <v>1563</v>
      </c>
      <c r="B82">
        <v>2026</v>
      </c>
      <c r="C82" s="5" t="s">
        <v>89</v>
      </c>
      <c r="D82" t="s">
        <v>8</v>
      </c>
      <c r="E82" s="4">
        <v>8.5</v>
      </c>
      <c r="F82" t="str">
        <f t="shared" si="4"/>
        <v>Watch</v>
      </c>
      <c r="G82" t="str">
        <f t="shared" si="5"/>
        <v>Good</v>
      </c>
      <c r="H82" t="str" cm="1">
        <f t="array" ref="H82">_xlfn.IFS(E82&gt;8,"Best",E82=7,"Good",E82&gt;7,"Good",E82&lt;7,"Avg",E82&lt;6,"Below Avg")</f>
        <v>Best</v>
      </c>
      <c r="I82">
        <v>133</v>
      </c>
      <c r="K82" s="3">
        <v>28642269</v>
      </c>
      <c r="L82" s="3">
        <v>22094846</v>
      </c>
      <c r="M82" s="3">
        <f t="shared" si="6"/>
        <v>6547423</v>
      </c>
      <c r="O82" t="s">
        <v>1564</v>
      </c>
      <c r="P82" t="s">
        <v>11</v>
      </c>
      <c r="Q82" t="str">
        <f t="shared" si="7"/>
        <v>Kid</v>
      </c>
    </row>
    <row r="83" spans="1:17" x14ac:dyDescent="0.3">
      <c r="A83" t="s">
        <v>1565</v>
      </c>
      <c r="B83">
        <v>2026</v>
      </c>
      <c r="C83" s="5" t="s">
        <v>89</v>
      </c>
      <c r="D83" t="s">
        <v>35</v>
      </c>
      <c r="E83" s="4">
        <v>8</v>
      </c>
      <c r="F83" t="str">
        <f t="shared" si="4"/>
        <v>Watch</v>
      </c>
      <c r="G83" t="str">
        <f t="shared" si="5"/>
        <v>Good</v>
      </c>
      <c r="H83" t="str" cm="1">
        <f t="array" ref="H83">_xlfn.IFS(E83&gt;8,"Best",E83=7,"Good",E83&gt;7,"Good",E83&lt;7,"Avg",E83&lt;6,"Below Avg")</f>
        <v>Good</v>
      </c>
      <c r="I83">
        <v>122</v>
      </c>
      <c r="K83" s="3">
        <v>30605406</v>
      </c>
      <c r="L83" s="3">
        <v>23403604</v>
      </c>
      <c r="M83" s="3">
        <f t="shared" si="6"/>
        <v>7201802</v>
      </c>
      <c r="N83" t="s">
        <v>1566</v>
      </c>
      <c r="O83" t="s">
        <v>1567</v>
      </c>
      <c r="P83" t="s">
        <v>11</v>
      </c>
      <c r="Q83" t="str">
        <f t="shared" si="7"/>
        <v>Kid</v>
      </c>
    </row>
    <row r="84" spans="1:17" x14ac:dyDescent="0.3">
      <c r="A84" t="s">
        <v>1570</v>
      </c>
      <c r="B84">
        <v>2026</v>
      </c>
      <c r="C84" s="5" t="s">
        <v>89</v>
      </c>
      <c r="D84" t="s">
        <v>8</v>
      </c>
      <c r="E84" s="4">
        <v>7.4</v>
      </c>
      <c r="F84" t="str">
        <f t="shared" si="4"/>
        <v>Watch</v>
      </c>
      <c r="G84" t="str">
        <f t="shared" si="5"/>
        <v>Good</v>
      </c>
      <c r="H84" t="str" cm="1">
        <f t="array" ref="H84">_xlfn.IFS(E84&gt;8,"Best",E84=7,"Good",E84&gt;7,"Good",E84&lt;7,"Avg",E84&lt;6,"Below Avg")</f>
        <v>Good</v>
      </c>
      <c r="I84">
        <v>116</v>
      </c>
      <c r="K84" s="3">
        <v>27835683</v>
      </c>
      <c r="L84" s="3">
        <v>21557122</v>
      </c>
      <c r="M84" s="3">
        <f t="shared" si="6"/>
        <v>6278561</v>
      </c>
      <c r="N84" t="s">
        <v>1571</v>
      </c>
      <c r="O84" t="s">
        <v>1572</v>
      </c>
      <c r="P84" t="s">
        <v>11</v>
      </c>
      <c r="Q84" t="str">
        <f t="shared" si="7"/>
        <v>Kid</v>
      </c>
    </row>
    <row r="85" spans="1:17" x14ac:dyDescent="0.3">
      <c r="A85" t="s">
        <v>1573</v>
      </c>
      <c r="B85">
        <v>2026</v>
      </c>
      <c r="C85" s="5" t="s">
        <v>89</v>
      </c>
      <c r="D85" t="s">
        <v>354</v>
      </c>
      <c r="E85" s="4">
        <v>7.2</v>
      </c>
      <c r="F85" t="str">
        <f t="shared" si="4"/>
        <v>Watch</v>
      </c>
      <c r="G85" t="str">
        <f t="shared" si="5"/>
        <v>Good</v>
      </c>
      <c r="H85" t="str" cm="1">
        <f t="array" ref="H85">_xlfn.IFS(E85&gt;8,"Best",E85=7,"Good",E85&gt;7,"Good",E85&lt;7,"Avg",E85&lt;6,"Below Avg")</f>
        <v>Good</v>
      </c>
      <c r="I85">
        <v>111</v>
      </c>
      <c r="K85" s="3">
        <v>26069193</v>
      </c>
      <c r="L85" s="3">
        <v>20379462</v>
      </c>
      <c r="M85" s="3">
        <f t="shared" si="6"/>
        <v>5689731</v>
      </c>
      <c r="N85" t="s">
        <v>1574</v>
      </c>
      <c r="O85" t="s">
        <v>1575</v>
      </c>
      <c r="P85" t="s">
        <v>11</v>
      </c>
      <c r="Q85" t="str">
        <f t="shared" si="7"/>
        <v>Kid</v>
      </c>
    </row>
    <row r="86" spans="1:17" x14ac:dyDescent="0.3">
      <c r="A86" t="s">
        <v>1576</v>
      </c>
      <c r="B86">
        <v>2026</v>
      </c>
      <c r="C86" s="5" t="s">
        <v>89</v>
      </c>
      <c r="D86" t="s">
        <v>8</v>
      </c>
      <c r="E86" s="4">
        <v>7.4</v>
      </c>
      <c r="F86" t="str">
        <f t="shared" si="4"/>
        <v>Watch</v>
      </c>
      <c r="G86" t="str">
        <f t="shared" si="5"/>
        <v>Good</v>
      </c>
      <c r="H86" t="str" cm="1">
        <f t="array" ref="H86">_xlfn.IFS(E86&gt;8,"Best",E86=7,"Good",E86&gt;7,"Good",E86&lt;7,"Avg",E86&lt;6,"Below Avg")</f>
        <v>Good</v>
      </c>
      <c r="I86">
        <v>134</v>
      </c>
      <c r="K86" s="3">
        <v>32895177</v>
      </c>
      <c r="L86" s="3">
        <v>24930118</v>
      </c>
      <c r="M86" s="3">
        <f t="shared" si="6"/>
        <v>7965059</v>
      </c>
      <c r="N86" t="s">
        <v>1577</v>
      </c>
      <c r="O86" t="s">
        <v>1578</v>
      </c>
      <c r="P86" t="s">
        <v>11</v>
      </c>
      <c r="Q86" t="str">
        <f t="shared" si="7"/>
        <v>Kid</v>
      </c>
    </row>
    <row r="87" spans="1:17" x14ac:dyDescent="0.3">
      <c r="A87" t="s">
        <v>1579</v>
      </c>
      <c r="B87">
        <v>2026</v>
      </c>
      <c r="C87" s="5" t="s">
        <v>89</v>
      </c>
      <c r="D87" t="s">
        <v>23</v>
      </c>
      <c r="E87" s="4">
        <v>6.1</v>
      </c>
      <c r="F87" t="str">
        <f t="shared" si="4"/>
        <v>Don't Watch</v>
      </c>
      <c r="G87" t="str">
        <f t="shared" si="5"/>
        <v>Avg</v>
      </c>
      <c r="H87" t="str" cm="1">
        <f t="array" ref="H87">_xlfn.IFS(E87&gt;8,"Best",E87=7,"Good",E87&gt;7,"Good",E87&lt;7,"Avg",E87&lt;6,"Below Avg")</f>
        <v>Avg</v>
      </c>
      <c r="I87">
        <v>109</v>
      </c>
      <c r="K87" s="3">
        <v>28562277</v>
      </c>
      <c r="L87" s="3">
        <v>22041518</v>
      </c>
      <c r="M87" s="3">
        <f t="shared" si="6"/>
        <v>6520759</v>
      </c>
      <c r="N87" t="s">
        <v>1580</v>
      </c>
      <c r="O87" t="s">
        <v>1581</v>
      </c>
      <c r="P87" t="s">
        <v>11</v>
      </c>
      <c r="Q87" t="str">
        <f t="shared" si="7"/>
        <v>Kid</v>
      </c>
    </row>
    <row r="88" spans="1:17" x14ac:dyDescent="0.3">
      <c r="A88" t="s">
        <v>1582</v>
      </c>
      <c r="B88">
        <v>2026</v>
      </c>
      <c r="C88" s="5" t="s">
        <v>89</v>
      </c>
      <c r="D88" t="s">
        <v>2</v>
      </c>
      <c r="E88" s="4">
        <v>6.9</v>
      </c>
      <c r="F88" t="str">
        <f t="shared" si="4"/>
        <v>Watch</v>
      </c>
      <c r="G88" t="str">
        <f t="shared" si="5"/>
        <v>Avg</v>
      </c>
      <c r="H88" t="str" cm="1">
        <f t="array" ref="H88">_xlfn.IFS(E88&gt;8,"Best",E88=7,"Good",E88&gt;7,"Good",E88&lt;7,"Avg",E88&lt;6,"Below Avg")</f>
        <v>Avg</v>
      </c>
      <c r="I88">
        <v>90</v>
      </c>
      <c r="K88" s="3">
        <v>48331000</v>
      </c>
      <c r="L88" s="3">
        <v>13182800</v>
      </c>
      <c r="M88" s="3">
        <f t="shared" si="6"/>
        <v>35148200</v>
      </c>
      <c r="N88" t="s">
        <v>1583</v>
      </c>
      <c r="O88" t="s">
        <v>1584</v>
      </c>
      <c r="P88" t="s">
        <v>4</v>
      </c>
      <c r="Q88" t="str">
        <f t="shared" si="7"/>
        <v>Adult</v>
      </c>
    </row>
    <row r="89" spans="1:17" x14ac:dyDescent="0.3">
      <c r="A89" t="s">
        <v>1585</v>
      </c>
      <c r="B89">
        <v>2026</v>
      </c>
      <c r="C89" s="5" t="s">
        <v>89</v>
      </c>
      <c r="D89" t="s">
        <v>8</v>
      </c>
      <c r="E89" s="4">
        <v>8.9</v>
      </c>
      <c r="F89" t="str">
        <f t="shared" si="4"/>
        <v>Watch</v>
      </c>
      <c r="G89" t="str">
        <f t="shared" si="5"/>
        <v>Best</v>
      </c>
      <c r="H89" t="str" cm="1">
        <f t="array" ref="H89">_xlfn.IFS(E89&gt;8,"Best",E89=7,"Good",E89&gt;7,"Good",E89&lt;7,"Avg",E89&lt;6,"Below Avg")</f>
        <v>Best</v>
      </c>
      <c r="I89">
        <v>101</v>
      </c>
      <c r="K89" s="3">
        <v>26785788</v>
      </c>
      <c r="L89" s="3">
        <v>20857192</v>
      </c>
      <c r="M89" s="3">
        <f t="shared" si="6"/>
        <v>5928596</v>
      </c>
      <c r="N89" t="s">
        <v>1586</v>
      </c>
      <c r="O89" t="s">
        <v>1587</v>
      </c>
      <c r="P89" t="s">
        <v>11</v>
      </c>
      <c r="Q89" t="str">
        <f t="shared" si="7"/>
        <v>Kid</v>
      </c>
    </row>
    <row r="90" spans="1:17" x14ac:dyDescent="0.3">
      <c r="A90" t="s">
        <v>1591</v>
      </c>
      <c r="B90">
        <v>2026</v>
      </c>
      <c r="C90" s="5" t="s">
        <v>89</v>
      </c>
      <c r="D90" t="s">
        <v>8</v>
      </c>
      <c r="E90" s="4">
        <v>6.4</v>
      </c>
      <c r="F90" t="str">
        <f t="shared" si="4"/>
        <v>Don't Watch</v>
      </c>
      <c r="G90" t="str">
        <f t="shared" si="5"/>
        <v>Avg</v>
      </c>
      <c r="H90" t="str" cm="1">
        <f t="array" ref="H90">_xlfn.IFS(E90&gt;8,"Best",E90=7,"Good",E90&gt;7,"Good",E90&lt;7,"Avg",E90&lt;6,"Below Avg")</f>
        <v>Avg</v>
      </c>
      <c r="I90">
        <v>136</v>
      </c>
      <c r="K90" s="3">
        <v>28902243</v>
      </c>
      <c r="L90" s="3">
        <v>22268162</v>
      </c>
      <c r="M90" s="3">
        <f t="shared" si="6"/>
        <v>6634081</v>
      </c>
      <c r="O90" t="s">
        <v>1592</v>
      </c>
      <c r="P90" t="s">
        <v>11</v>
      </c>
      <c r="Q90" t="str">
        <f t="shared" si="7"/>
        <v>Kid</v>
      </c>
    </row>
    <row r="91" spans="1:17" x14ac:dyDescent="0.3">
      <c r="A91" t="s">
        <v>1596</v>
      </c>
      <c r="B91">
        <v>2026</v>
      </c>
      <c r="C91" s="5" t="s">
        <v>89</v>
      </c>
      <c r="D91" t="s">
        <v>8</v>
      </c>
      <c r="E91" s="4">
        <v>9.1999999999999993</v>
      </c>
      <c r="F91" t="str">
        <f t="shared" si="4"/>
        <v>Watch</v>
      </c>
      <c r="G91" t="str">
        <f t="shared" si="5"/>
        <v>Best</v>
      </c>
      <c r="H91" t="str" cm="1">
        <f t="array" ref="H91">_xlfn.IFS(E91&gt;8,"Best",E91=7,"Good",E91&gt;7,"Good",E91&lt;7,"Avg",E91&lt;6,"Below Avg")</f>
        <v>Best</v>
      </c>
      <c r="I91">
        <v>164</v>
      </c>
      <c r="K91" s="3">
        <v>28995567</v>
      </c>
      <c r="L91" s="3">
        <v>22330378</v>
      </c>
      <c r="M91" s="3">
        <f t="shared" si="6"/>
        <v>6665189</v>
      </c>
      <c r="N91" t="s">
        <v>1597</v>
      </c>
      <c r="O91" t="s">
        <v>1598</v>
      </c>
      <c r="P91" t="s">
        <v>11</v>
      </c>
      <c r="Q91" t="str">
        <f t="shared" si="7"/>
        <v>Kid</v>
      </c>
    </row>
    <row r="92" spans="1:17" x14ac:dyDescent="0.3">
      <c r="A92" t="s">
        <v>1599</v>
      </c>
      <c r="B92">
        <v>2026</v>
      </c>
      <c r="C92" s="5" t="s">
        <v>89</v>
      </c>
      <c r="D92" t="s">
        <v>19</v>
      </c>
      <c r="E92" s="4">
        <v>6</v>
      </c>
      <c r="F92" t="str">
        <f t="shared" si="4"/>
        <v>Don't Watch</v>
      </c>
      <c r="G92" t="str">
        <f t="shared" si="5"/>
        <v>Avg</v>
      </c>
      <c r="H92" t="str" cm="1">
        <f t="array" ref="H92">_xlfn.IFS(E92&gt;8,"Best",E92=7,"Good",E92&gt;7,"Good",E92&lt;7,"Avg",E92&lt;6,"Below Avg")</f>
        <v>Avg</v>
      </c>
      <c r="I92">
        <v>132</v>
      </c>
      <c r="K92" s="3">
        <v>31638636</v>
      </c>
      <c r="L92" s="3">
        <v>24092424</v>
      </c>
      <c r="M92" s="3">
        <f t="shared" si="6"/>
        <v>7546212</v>
      </c>
      <c r="N92" t="s">
        <v>1364</v>
      </c>
      <c r="O92" t="s">
        <v>700</v>
      </c>
      <c r="P92" t="s">
        <v>11</v>
      </c>
      <c r="Q92" t="str">
        <f t="shared" si="7"/>
        <v>Kid</v>
      </c>
    </row>
    <row r="93" spans="1:17" x14ac:dyDescent="0.3">
      <c r="A93" t="s">
        <v>1600</v>
      </c>
      <c r="B93">
        <v>2026</v>
      </c>
      <c r="C93" s="5" t="s">
        <v>89</v>
      </c>
      <c r="D93" t="s">
        <v>8</v>
      </c>
      <c r="E93" s="4">
        <v>6</v>
      </c>
      <c r="F93" t="str">
        <f t="shared" si="4"/>
        <v>Don't Watch</v>
      </c>
      <c r="G93" t="str">
        <f t="shared" si="5"/>
        <v>Avg</v>
      </c>
      <c r="H93" t="str" cm="1">
        <f t="array" ref="H93">_xlfn.IFS(E93&gt;8,"Best",E93=7,"Good",E93&gt;7,"Good",E93&lt;7,"Avg",E93&lt;6,"Below Avg")</f>
        <v>Avg</v>
      </c>
      <c r="I93">
        <v>129</v>
      </c>
      <c r="K93" s="3">
        <v>27129087</v>
      </c>
      <c r="L93" s="3">
        <v>21086058</v>
      </c>
      <c r="M93" s="3">
        <f t="shared" si="6"/>
        <v>6043029</v>
      </c>
      <c r="N93" t="s">
        <v>1601</v>
      </c>
      <c r="O93" t="s">
        <v>1602</v>
      </c>
      <c r="P93" t="s">
        <v>11</v>
      </c>
      <c r="Q93" t="str">
        <f t="shared" si="7"/>
        <v>Kid</v>
      </c>
    </row>
    <row r="94" spans="1:17" x14ac:dyDescent="0.3">
      <c r="A94" t="s">
        <v>1607</v>
      </c>
      <c r="B94">
        <v>2026</v>
      </c>
      <c r="C94" s="5" t="s">
        <v>89</v>
      </c>
      <c r="D94" t="s">
        <v>49</v>
      </c>
      <c r="E94" s="4">
        <v>6.3</v>
      </c>
      <c r="F94" t="str">
        <f t="shared" si="4"/>
        <v>Don't Watch</v>
      </c>
      <c r="G94" t="str">
        <f t="shared" si="5"/>
        <v>Avg</v>
      </c>
      <c r="H94" t="str" cm="1">
        <f t="array" ref="H94">_xlfn.IFS(E94&gt;8,"Best",E94=7,"Good",E94&gt;7,"Good",E94&lt;7,"Avg",E94&lt;6,"Below Avg")</f>
        <v>Avg</v>
      </c>
      <c r="I94">
        <v>162</v>
      </c>
      <c r="K94" s="3">
        <v>30988701</v>
      </c>
      <c r="L94" s="3">
        <v>23659134</v>
      </c>
      <c r="M94" s="3">
        <f t="shared" si="6"/>
        <v>7329567</v>
      </c>
      <c r="N94" t="s">
        <v>1608</v>
      </c>
      <c r="O94" t="s">
        <v>643</v>
      </c>
      <c r="P94" t="s">
        <v>11</v>
      </c>
      <c r="Q94" t="str">
        <f t="shared" si="7"/>
        <v>Kid</v>
      </c>
    </row>
    <row r="95" spans="1:17" x14ac:dyDescent="0.3">
      <c r="A95" t="s">
        <v>1609</v>
      </c>
      <c r="B95">
        <v>2026</v>
      </c>
      <c r="C95" s="5" t="s">
        <v>89</v>
      </c>
      <c r="D95" t="s">
        <v>31</v>
      </c>
      <c r="E95" s="4">
        <v>6.9</v>
      </c>
      <c r="F95" t="str">
        <f t="shared" si="4"/>
        <v>Watch</v>
      </c>
      <c r="G95" t="str">
        <f t="shared" si="5"/>
        <v>Avg</v>
      </c>
      <c r="H95" t="str" cm="1">
        <f t="array" ref="H95">_xlfn.IFS(E95&gt;8,"Best",E95=7,"Good",E95&gt;7,"Good",E95&lt;7,"Avg",E95&lt;6,"Below Avg")</f>
        <v>Avg</v>
      </c>
      <c r="I95">
        <v>111</v>
      </c>
      <c r="K95" s="3">
        <v>27819018</v>
      </c>
      <c r="L95" s="3">
        <v>21546012</v>
      </c>
      <c r="M95" s="3">
        <f t="shared" si="6"/>
        <v>6273006</v>
      </c>
      <c r="O95" t="s">
        <v>1610</v>
      </c>
      <c r="P95" t="s">
        <v>11</v>
      </c>
      <c r="Q95" t="str">
        <f t="shared" si="7"/>
        <v>Kid</v>
      </c>
    </row>
    <row r="96" spans="1:17" x14ac:dyDescent="0.3">
      <c r="A96" t="s">
        <v>1611</v>
      </c>
      <c r="B96">
        <v>2026</v>
      </c>
      <c r="C96" s="5" t="s">
        <v>89</v>
      </c>
      <c r="D96" t="s">
        <v>39</v>
      </c>
      <c r="E96" s="4">
        <v>6.8</v>
      </c>
      <c r="F96" t="str">
        <f t="shared" si="4"/>
        <v>Watch</v>
      </c>
      <c r="G96" t="str">
        <f t="shared" si="5"/>
        <v>Avg</v>
      </c>
      <c r="H96" t="str" cm="1">
        <f t="array" ref="H96">_xlfn.IFS(E96&gt;8,"Best",E96=7,"Good",E96&gt;7,"Good",E96&lt;7,"Avg",E96&lt;6,"Below Avg")</f>
        <v>Avg</v>
      </c>
      <c r="I96">
        <v>116</v>
      </c>
      <c r="K96" s="3">
        <v>28585608</v>
      </c>
      <c r="L96" s="3">
        <v>22057072</v>
      </c>
      <c r="M96" s="3">
        <f t="shared" si="6"/>
        <v>6528536</v>
      </c>
      <c r="O96" t="s">
        <v>982</v>
      </c>
      <c r="P96" t="s">
        <v>11</v>
      </c>
      <c r="Q96" t="str">
        <f t="shared" si="7"/>
        <v>Kid</v>
      </c>
    </row>
    <row r="97" spans="1:17" x14ac:dyDescent="0.3">
      <c r="A97" t="s">
        <v>1612</v>
      </c>
      <c r="B97">
        <v>2026</v>
      </c>
      <c r="C97" s="5" t="s">
        <v>89</v>
      </c>
      <c r="D97" t="s">
        <v>8</v>
      </c>
      <c r="E97" s="4">
        <v>8.3000000000000007</v>
      </c>
      <c r="F97" t="str">
        <f t="shared" si="4"/>
        <v>Watch</v>
      </c>
      <c r="G97" t="str">
        <f t="shared" si="5"/>
        <v>Good</v>
      </c>
      <c r="H97" t="str" cm="1">
        <f t="array" ref="H97">_xlfn.IFS(E97&gt;8,"Best",E97=7,"Good",E97&gt;7,"Good",E97&lt;7,"Avg",E97&lt;6,"Below Avg")</f>
        <v>Best</v>
      </c>
      <c r="I97">
        <v>137</v>
      </c>
      <c r="K97" s="3">
        <v>26655801</v>
      </c>
      <c r="L97" s="3">
        <v>20770534</v>
      </c>
      <c r="M97" s="3">
        <f t="shared" si="6"/>
        <v>5885267</v>
      </c>
      <c r="O97" t="s">
        <v>1613</v>
      </c>
      <c r="P97" t="s">
        <v>11</v>
      </c>
      <c r="Q97" t="str">
        <f t="shared" si="7"/>
        <v>Kid</v>
      </c>
    </row>
    <row r="98" spans="1:17" x14ac:dyDescent="0.3">
      <c r="A98" t="s">
        <v>1614</v>
      </c>
      <c r="B98">
        <v>2026</v>
      </c>
      <c r="C98" s="5" t="s">
        <v>89</v>
      </c>
      <c r="D98" t="s">
        <v>8</v>
      </c>
      <c r="E98" s="4">
        <v>8.3000000000000007</v>
      </c>
      <c r="F98" t="str">
        <f t="shared" si="4"/>
        <v>Watch</v>
      </c>
      <c r="G98" t="str">
        <f t="shared" si="5"/>
        <v>Good</v>
      </c>
      <c r="H98" t="str" cm="1">
        <f t="array" ref="H98">_xlfn.IFS(E98&gt;8,"Best",E98=7,"Good",E98&gt;7,"Good",E98&lt;7,"Avg",E98&lt;6,"Below Avg")</f>
        <v>Best</v>
      </c>
      <c r="I98">
        <v>113</v>
      </c>
      <c r="K98" s="3">
        <v>29075559</v>
      </c>
      <c r="L98" s="3">
        <v>22383706</v>
      </c>
      <c r="M98" s="3">
        <f t="shared" si="6"/>
        <v>6691853</v>
      </c>
      <c r="O98" t="s">
        <v>1615</v>
      </c>
      <c r="P98" t="s">
        <v>11</v>
      </c>
      <c r="Q98" t="str">
        <f t="shared" si="7"/>
        <v>Kid</v>
      </c>
    </row>
    <row r="99" spans="1:17" x14ac:dyDescent="0.3">
      <c r="A99" t="s">
        <v>1616</v>
      </c>
      <c r="B99">
        <v>2026</v>
      </c>
      <c r="C99" s="5" t="s">
        <v>89</v>
      </c>
      <c r="D99" t="s">
        <v>39</v>
      </c>
      <c r="E99" s="4">
        <v>6.2</v>
      </c>
      <c r="F99" t="str">
        <f t="shared" si="4"/>
        <v>Don't Watch</v>
      </c>
      <c r="G99" t="str">
        <f t="shared" si="5"/>
        <v>Avg</v>
      </c>
      <c r="H99" t="str" cm="1">
        <f t="array" ref="H99">_xlfn.IFS(E99&gt;8,"Best",E99=7,"Good",E99&gt;7,"Good",E99&lt;7,"Avg",E99&lt;6,"Below Avg")</f>
        <v>Avg</v>
      </c>
      <c r="I99">
        <v>113</v>
      </c>
      <c r="K99" s="3">
        <v>27575709</v>
      </c>
      <c r="L99" s="3">
        <v>21383806</v>
      </c>
      <c r="M99" s="3">
        <f t="shared" si="6"/>
        <v>6191903</v>
      </c>
      <c r="O99" t="s">
        <v>497</v>
      </c>
      <c r="P99" t="s">
        <v>11</v>
      </c>
      <c r="Q99" t="str">
        <f t="shared" si="7"/>
        <v>Kid</v>
      </c>
    </row>
    <row r="100" spans="1:17" x14ac:dyDescent="0.3">
      <c r="A100" t="s">
        <v>1498</v>
      </c>
      <c r="B100">
        <v>2026</v>
      </c>
      <c r="C100" s="5" t="s">
        <v>1</v>
      </c>
      <c r="D100" t="s">
        <v>61</v>
      </c>
      <c r="E100" s="4">
        <v>6.9</v>
      </c>
      <c r="F100" t="str">
        <f t="shared" si="4"/>
        <v>Watch</v>
      </c>
      <c r="G100" t="str">
        <f t="shared" si="5"/>
        <v>Avg</v>
      </c>
      <c r="H100" t="str" cm="1">
        <f t="array" ref="H100">_xlfn.IFS(E100&gt;8,"Best",E100=7,"Good",E100&gt;7,"Good",E100&lt;7,"Avg",E100&lt;6,"Below Avg")</f>
        <v>Avg</v>
      </c>
      <c r="I100">
        <v>138</v>
      </c>
      <c r="K100" s="3">
        <v>27159084</v>
      </c>
      <c r="L100" s="3">
        <v>21106056</v>
      </c>
      <c r="M100" s="3">
        <f t="shared" si="6"/>
        <v>6053028</v>
      </c>
      <c r="O100" t="s">
        <v>377</v>
      </c>
      <c r="P100" t="s">
        <v>11</v>
      </c>
      <c r="Q100" t="str">
        <f t="shared" si="7"/>
        <v>Kid</v>
      </c>
    </row>
    <row r="101" spans="1:17" x14ac:dyDescent="0.3">
      <c r="A101" t="s">
        <v>1520</v>
      </c>
      <c r="B101">
        <v>2026</v>
      </c>
      <c r="C101" s="5" t="s">
        <v>1</v>
      </c>
      <c r="D101" t="s">
        <v>19</v>
      </c>
      <c r="E101" s="4">
        <v>6.9</v>
      </c>
      <c r="F101" t="str">
        <f t="shared" si="4"/>
        <v>Watch</v>
      </c>
      <c r="G101" t="str">
        <f t="shared" si="5"/>
        <v>Avg</v>
      </c>
      <c r="H101" t="str" cm="1">
        <f t="array" ref="H101">_xlfn.IFS(E101&gt;8,"Best",E101=7,"Good",E101&gt;7,"Good",E101&lt;7,"Avg",E101&lt;6,"Below Avg")</f>
        <v>Avg</v>
      </c>
      <c r="I101">
        <v>102</v>
      </c>
      <c r="K101" s="3">
        <v>33538446</v>
      </c>
      <c r="L101" s="3">
        <v>25358964</v>
      </c>
      <c r="M101" s="3">
        <f t="shared" si="6"/>
        <v>8179482</v>
      </c>
      <c r="N101" t="s">
        <v>1521</v>
      </c>
      <c r="O101" t="s">
        <v>1093</v>
      </c>
      <c r="P101" t="s">
        <v>11</v>
      </c>
      <c r="Q101" t="str">
        <f t="shared" si="7"/>
        <v>Kid</v>
      </c>
    </row>
    <row r="102" spans="1:17" x14ac:dyDescent="0.3">
      <c r="A102" t="s">
        <v>1526</v>
      </c>
      <c r="B102">
        <v>2026</v>
      </c>
      <c r="C102" s="5" t="s">
        <v>1</v>
      </c>
      <c r="D102" t="s">
        <v>8</v>
      </c>
      <c r="E102" s="4">
        <v>9</v>
      </c>
      <c r="F102" t="str">
        <f t="shared" si="4"/>
        <v>Watch</v>
      </c>
      <c r="G102" t="str">
        <f t="shared" si="5"/>
        <v>Best</v>
      </c>
      <c r="H102" t="str" cm="1">
        <f t="array" ref="H102">_xlfn.IFS(E102&gt;8,"Best",E102=7,"Good",E102&gt;7,"Good",E102&lt;7,"Avg",E102&lt;6,"Below Avg")</f>
        <v>Best</v>
      </c>
      <c r="I102">
        <v>153</v>
      </c>
      <c r="K102" s="3">
        <v>26459154</v>
      </c>
      <c r="L102" s="3">
        <v>20639436</v>
      </c>
      <c r="M102" s="3">
        <f t="shared" si="6"/>
        <v>5819718</v>
      </c>
      <c r="N102" t="s">
        <v>1527</v>
      </c>
      <c r="O102" t="s">
        <v>1528</v>
      </c>
      <c r="P102" t="s">
        <v>11</v>
      </c>
      <c r="Q102" t="str">
        <f t="shared" si="7"/>
        <v>Kid</v>
      </c>
    </row>
    <row r="103" spans="1:17" x14ac:dyDescent="0.3">
      <c r="A103" t="s">
        <v>1537</v>
      </c>
      <c r="B103">
        <v>2026</v>
      </c>
      <c r="C103" s="5" t="s">
        <v>1</v>
      </c>
      <c r="D103" t="s">
        <v>35</v>
      </c>
      <c r="E103" s="4">
        <v>8</v>
      </c>
      <c r="F103" t="str">
        <f t="shared" si="4"/>
        <v>Watch</v>
      </c>
      <c r="G103" t="str">
        <f t="shared" si="5"/>
        <v>Good</v>
      </c>
      <c r="H103" t="str" cm="1">
        <f t="array" ref="H103">_xlfn.IFS(E103&gt;8,"Best",E103=7,"Good",E103&gt;7,"Good",E103&lt;7,"Avg",E103&lt;6,"Below Avg")</f>
        <v>Good</v>
      </c>
      <c r="I103">
        <v>119</v>
      </c>
      <c r="K103" s="3">
        <v>34345032</v>
      </c>
      <c r="L103" s="3">
        <v>25896688</v>
      </c>
      <c r="M103" s="3">
        <f t="shared" si="6"/>
        <v>8448344</v>
      </c>
      <c r="N103" t="s">
        <v>1538</v>
      </c>
      <c r="O103" t="s">
        <v>1016</v>
      </c>
      <c r="P103" t="s">
        <v>11</v>
      </c>
      <c r="Q103" t="str">
        <f t="shared" si="7"/>
        <v>Kid</v>
      </c>
    </row>
    <row r="104" spans="1:17" x14ac:dyDescent="0.3">
      <c r="A104" t="s">
        <v>1539</v>
      </c>
      <c r="B104">
        <v>2026</v>
      </c>
      <c r="C104" s="5" t="s">
        <v>1</v>
      </c>
      <c r="D104" t="s">
        <v>8</v>
      </c>
      <c r="E104" s="4">
        <v>6.9</v>
      </c>
      <c r="F104" t="str">
        <f t="shared" si="4"/>
        <v>Watch</v>
      </c>
      <c r="G104" t="str">
        <f t="shared" si="5"/>
        <v>Avg</v>
      </c>
      <c r="H104" t="str" cm="1">
        <f t="array" ref="H104">_xlfn.IFS(E104&gt;8,"Best",E104=7,"Good",E104&gt;7,"Good",E104&lt;7,"Avg",E104&lt;6,"Below Avg")</f>
        <v>Avg</v>
      </c>
      <c r="I104">
        <v>96</v>
      </c>
      <c r="K104" s="3">
        <v>30018798</v>
      </c>
      <c r="L104" s="3">
        <v>23012532</v>
      </c>
      <c r="M104" s="3">
        <f t="shared" si="6"/>
        <v>7006266</v>
      </c>
      <c r="N104" t="s">
        <v>1540</v>
      </c>
      <c r="O104" t="s">
        <v>1541</v>
      </c>
      <c r="P104" t="s">
        <v>11</v>
      </c>
      <c r="Q104" t="str">
        <f t="shared" si="7"/>
        <v>Kid</v>
      </c>
    </row>
    <row r="105" spans="1:17" x14ac:dyDescent="0.3">
      <c r="A105" t="s">
        <v>1542</v>
      </c>
      <c r="B105">
        <v>2026</v>
      </c>
      <c r="C105" s="5" t="s">
        <v>1</v>
      </c>
      <c r="D105" t="s">
        <v>8</v>
      </c>
      <c r="E105" s="4">
        <v>6.7</v>
      </c>
      <c r="F105" t="str">
        <f t="shared" si="4"/>
        <v>Watch</v>
      </c>
      <c r="G105" t="str">
        <f t="shared" si="5"/>
        <v>Avg</v>
      </c>
      <c r="H105" t="str" cm="1">
        <f t="array" ref="H105">_xlfn.IFS(E105&gt;8,"Best",E105=7,"Good",E105&gt;7,"Good",E105&lt;7,"Avg",E105&lt;6,"Below Avg")</f>
        <v>Avg</v>
      </c>
      <c r="I105">
        <v>160</v>
      </c>
      <c r="K105" s="3">
        <v>27482385</v>
      </c>
      <c r="L105" s="3">
        <v>21321590</v>
      </c>
      <c r="M105" s="3">
        <f t="shared" si="6"/>
        <v>6160795</v>
      </c>
      <c r="N105" t="s">
        <v>1543</v>
      </c>
      <c r="O105" t="s">
        <v>243</v>
      </c>
      <c r="P105" t="s">
        <v>11</v>
      </c>
      <c r="Q105" t="str">
        <f t="shared" si="7"/>
        <v>Kid</v>
      </c>
    </row>
    <row r="106" spans="1:17" x14ac:dyDescent="0.3">
      <c r="A106" t="s">
        <v>1496</v>
      </c>
      <c r="B106">
        <v>2026</v>
      </c>
      <c r="C106" s="5" t="s">
        <v>1</v>
      </c>
      <c r="D106" t="s">
        <v>8</v>
      </c>
      <c r="E106" s="4">
        <v>9.1999999999999993</v>
      </c>
      <c r="F106" t="str">
        <f t="shared" si="4"/>
        <v>Watch</v>
      </c>
      <c r="G106" t="str">
        <f t="shared" si="5"/>
        <v>Best</v>
      </c>
      <c r="H106" t="str" cm="1">
        <f t="array" ref="H106">_xlfn.IFS(E106&gt;8,"Best",E106=7,"Good",E106&gt;7,"Good",E106&lt;7,"Avg",E106&lt;6,"Below Avg")</f>
        <v>Best</v>
      </c>
      <c r="I106">
        <v>107</v>
      </c>
      <c r="K106" s="3">
        <v>28555611</v>
      </c>
      <c r="L106" s="3">
        <v>22037074</v>
      </c>
      <c r="M106" s="3">
        <f t="shared" si="6"/>
        <v>6518537</v>
      </c>
      <c r="O106" t="s">
        <v>1497</v>
      </c>
      <c r="P106" t="s">
        <v>11</v>
      </c>
      <c r="Q106" t="str">
        <f t="shared" si="7"/>
        <v>Kid</v>
      </c>
    </row>
    <row r="107" spans="1:17" x14ac:dyDescent="0.3">
      <c r="A107" t="s">
        <v>1499</v>
      </c>
      <c r="B107">
        <v>2026</v>
      </c>
      <c r="C107" s="5" t="s">
        <v>1</v>
      </c>
      <c r="D107" t="s">
        <v>61</v>
      </c>
      <c r="E107" s="4">
        <v>8.1999999999999993</v>
      </c>
      <c r="F107" t="str">
        <f t="shared" si="4"/>
        <v>Watch</v>
      </c>
      <c r="G107" t="str">
        <f t="shared" si="5"/>
        <v>Good</v>
      </c>
      <c r="H107" t="str" cm="1">
        <f t="array" ref="H107">_xlfn.IFS(E107&gt;8,"Best",E107=7,"Good",E107&gt;7,"Good",E107&lt;7,"Avg",E107&lt;6,"Below Avg")</f>
        <v>Best</v>
      </c>
      <c r="I107">
        <v>163</v>
      </c>
      <c r="K107" s="3">
        <v>31491984</v>
      </c>
      <c r="L107" s="3">
        <v>23994656</v>
      </c>
      <c r="M107" s="3">
        <f t="shared" si="6"/>
        <v>7497328</v>
      </c>
      <c r="N107" t="s">
        <v>1500</v>
      </c>
      <c r="O107" t="s">
        <v>1501</v>
      </c>
      <c r="P107" t="s">
        <v>11</v>
      </c>
      <c r="Q107" t="str">
        <f t="shared" si="7"/>
        <v>Kid</v>
      </c>
    </row>
    <row r="108" spans="1:17" x14ac:dyDescent="0.3">
      <c r="A108" t="s">
        <v>1502</v>
      </c>
      <c r="B108">
        <v>2026</v>
      </c>
      <c r="C108" s="5" t="s">
        <v>1</v>
      </c>
      <c r="D108" t="s">
        <v>8</v>
      </c>
      <c r="E108" s="4">
        <v>6.1</v>
      </c>
      <c r="F108" t="str">
        <f t="shared" si="4"/>
        <v>Don't Watch</v>
      </c>
      <c r="G108" t="str">
        <f t="shared" si="5"/>
        <v>Avg</v>
      </c>
      <c r="H108" t="str" cm="1">
        <f t="array" ref="H108">_xlfn.IFS(E108&gt;8,"Best",E108=7,"Good",E108&gt;7,"Good",E108&lt;7,"Avg",E108&lt;6,"Below Avg")</f>
        <v>Avg</v>
      </c>
      <c r="I108">
        <v>91</v>
      </c>
      <c r="K108" s="3">
        <v>29002233</v>
      </c>
      <c r="L108" s="3">
        <v>22334822</v>
      </c>
      <c r="M108" s="3">
        <f t="shared" si="6"/>
        <v>6667411</v>
      </c>
      <c r="N108" t="s">
        <v>1503</v>
      </c>
      <c r="O108" t="s">
        <v>1504</v>
      </c>
      <c r="P108" t="s">
        <v>11</v>
      </c>
      <c r="Q108" t="str">
        <f t="shared" si="7"/>
        <v>Kid</v>
      </c>
    </row>
    <row r="109" spans="1:17" x14ac:dyDescent="0.3">
      <c r="A109" t="s">
        <v>1505</v>
      </c>
      <c r="B109">
        <v>2026</v>
      </c>
      <c r="C109" s="5" t="s">
        <v>1</v>
      </c>
      <c r="D109" t="s">
        <v>8</v>
      </c>
      <c r="E109" s="4">
        <v>6.3</v>
      </c>
      <c r="F109" t="str">
        <f t="shared" si="4"/>
        <v>Don't Watch</v>
      </c>
      <c r="G109" t="str">
        <f t="shared" si="5"/>
        <v>Avg</v>
      </c>
      <c r="H109" t="str" cm="1">
        <f t="array" ref="H109">_xlfn.IFS(E109&gt;8,"Best",E109=7,"Good",E109&gt;7,"Good",E109&lt;7,"Avg",E109&lt;6,"Below Avg")</f>
        <v>Avg</v>
      </c>
      <c r="I109">
        <v>132</v>
      </c>
      <c r="K109" s="3">
        <v>32638536</v>
      </c>
      <c r="L109" s="3">
        <v>24759024</v>
      </c>
      <c r="M109" s="3">
        <f t="shared" si="6"/>
        <v>7879512</v>
      </c>
      <c r="N109" t="s">
        <v>1506</v>
      </c>
      <c r="O109" t="s">
        <v>1507</v>
      </c>
      <c r="P109" t="s">
        <v>11</v>
      </c>
      <c r="Q109" t="str">
        <f t="shared" si="7"/>
        <v>Kid</v>
      </c>
    </row>
    <row r="110" spans="1:17" x14ac:dyDescent="0.3">
      <c r="A110" t="s">
        <v>1508</v>
      </c>
      <c r="B110">
        <v>2026</v>
      </c>
      <c r="C110" s="5" t="s">
        <v>1</v>
      </c>
      <c r="D110" t="s">
        <v>8</v>
      </c>
      <c r="E110" s="4">
        <v>6.7</v>
      </c>
      <c r="F110" t="str">
        <f t="shared" si="4"/>
        <v>Watch</v>
      </c>
      <c r="G110" t="str">
        <f t="shared" si="5"/>
        <v>Avg</v>
      </c>
      <c r="H110" t="str" cm="1">
        <f t="array" ref="H110">_xlfn.IFS(E110&gt;8,"Best",E110=7,"Good",E110&gt;7,"Good",E110&lt;7,"Avg",E110&lt;6,"Below Avg")</f>
        <v>Avg</v>
      </c>
      <c r="I110">
        <v>91</v>
      </c>
      <c r="K110" s="3">
        <v>28252308</v>
      </c>
      <c r="L110" s="3">
        <v>21834872</v>
      </c>
      <c r="M110" s="3">
        <f t="shared" si="6"/>
        <v>6417436</v>
      </c>
      <c r="N110" t="s">
        <v>1509</v>
      </c>
      <c r="O110" t="s">
        <v>1510</v>
      </c>
      <c r="P110" t="s">
        <v>11</v>
      </c>
      <c r="Q110" t="str">
        <f t="shared" si="7"/>
        <v>Kid</v>
      </c>
    </row>
    <row r="111" spans="1:17" x14ac:dyDescent="0.3">
      <c r="A111" t="s">
        <v>1511</v>
      </c>
      <c r="B111">
        <v>2026</v>
      </c>
      <c r="C111" s="5" t="s">
        <v>1</v>
      </c>
      <c r="D111" t="s">
        <v>8</v>
      </c>
      <c r="E111" s="4">
        <v>8.8000000000000007</v>
      </c>
      <c r="F111" t="str">
        <f t="shared" si="4"/>
        <v>Watch</v>
      </c>
      <c r="G111" t="str">
        <f t="shared" si="5"/>
        <v>Best</v>
      </c>
      <c r="H111" t="str" cm="1">
        <f t="array" ref="H111">_xlfn.IFS(E111&gt;8,"Best",E111=7,"Good",E111&gt;7,"Good",E111&lt;7,"Avg",E111&lt;6,"Below Avg")</f>
        <v>Best</v>
      </c>
      <c r="I111">
        <v>130</v>
      </c>
      <c r="K111" s="3">
        <v>27882345</v>
      </c>
      <c r="L111" s="3">
        <v>21588230</v>
      </c>
      <c r="M111" s="3">
        <f t="shared" si="6"/>
        <v>6294115</v>
      </c>
      <c r="N111" t="s">
        <v>1512</v>
      </c>
      <c r="O111" t="s">
        <v>700</v>
      </c>
      <c r="P111" t="s">
        <v>11</v>
      </c>
      <c r="Q111" t="str">
        <f t="shared" si="7"/>
        <v>Kid</v>
      </c>
    </row>
    <row r="112" spans="1:17" x14ac:dyDescent="0.3">
      <c r="A112" t="s">
        <v>1513</v>
      </c>
      <c r="B112">
        <v>2026</v>
      </c>
      <c r="C112" s="5" t="s">
        <v>1</v>
      </c>
      <c r="D112" t="s">
        <v>8</v>
      </c>
      <c r="E112" s="4">
        <v>7.8</v>
      </c>
      <c r="F112" t="str">
        <f t="shared" si="4"/>
        <v>Watch</v>
      </c>
      <c r="G112" t="str">
        <f t="shared" si="5"/>
        <v>Good</v>
      </c>
      <c r="H112" t="str" cm="1">
        <f t="array" ref="H112">_xlfn.IFS(E112&gt;8,"Best",E112=7,"Good",E112&gt;7,"Good",E112&lt;7,"Avg",E112&lt;6,"Below Avg")</f>
        <v>Good</v>
      </c>
      <c r="I112">
        <v>93</v>
      </c>
      <c r="K112" s="3">
        <v>25759224</v>
      </c>
      <c r="L112" s="3">
        <v>20172816</v>
      </c>
      <c r="M112" s="3">
        <f t="shared" si="6"/>
        <v>5586408</v>
      </c>
      <c r="O112" t="s">
        <v>1514</v>
      </c>
      <c r="P112" t="s">
        <v>11</v>
      </c>
      <c r="Q112" t="str">
        <f t="shared" si="7"/>
        <v>Kid</v>
      </c>
    </row>
    <row r="113" spans="1:17" x14ac:dyDescent="0.3">
      <c r="A113" t="s">
        <v>1515</v>
      </c>
      <c r="B113">
        <v>2026</v>
      </c>
      <c r="C113" s="5" t="s">
        <v>1</v>
      </c>
      <c r="D113" t="s">
        <v>8</v>
      </c>
      <c r="E113" s="4">
        <v>8.5</v>
      </c>
      <c r="F113" t="str">
        <f t="shared" si="4"/>
        <v>Watch</v>
      </c>
      <c r="G113" t="str">
        <f t="shared" si="5"/>
        <v>Good</v>
      </c>
      <c r="H113" t="str" cm="1">
        <f t="array" ref="H113">_xlfn.IFS(E113&gt;8,"Best",E113=7,"Good",E113&gt;7,"Good",E113&lt;7,"Avg",E113&lt;6,"Below Avg")</f>
        <v>Best</v>
      </c>
      <c r="I113">
        <v>94</v>
      </c>
      <c r="K113" s="3">
        <v>27762357</v>
      </c>
      <c r="L113" s="3">
        <v>21508238</v>
      </c>
      <c r="M113" s="3">
        <f t="shared" si="6"/>
        <v>6254119</v>
      </c>
      <c r="N113" t="s">
        <v>1516</v>
      </c>
      <c r="O113" t="s">
        <v>1517</v>
      </c>
      <c r="P113" t="s">
        <v>11</v>
      </c>
      <c r="Q113" t="str">
        <f t="shared" si="7"/>
        <v>Kid</v>
      </c>
    </row>
    <row r="114" spans="1:17" x14ac:dyDescent="0.3">
      <c r="A114" t="s">
        <v>1518</v>
      </c>
      <c r="B114">
        <v>2026</v>
      </c>
      <c r="C114" s="5" t="s">
        <v>1</v>
      </c>
      <c r="D114" t="s">
        <v>49</v>
      </c>
      <c r="E114" s="4">
        <v>6.8</v>
      </c>
      <c r="F114" t="str">
        <f t="shared" si="4"/>
        <v>Watch</v>
      </c>
      <c r="G114" t="str">
        <f t="shared" si="5"/>
        <v>Avg</v>
      </c>
      <c r="H114" t="str" cm="1">
        <f t="array" ref="H114">_xlfn.IFS(E114&gt;8,"Best",E114=7,"Good",E114&gt;7,"Good",E114&lt;7,"Avg",E114&lt;6,"Below Avg")</f>
        <v>Avg</v>
      </c>
      <c r="I114">
        <v>122</v>
      </c>
      <c r="K114" s="3">
        <v>29355531</v>
      </c>
      <c r="L114" s="3">
        <v>22570354</v>
      </c>
      <c r="M114" s="3">
        <f t="shared" si="6"/>
        <v>6785177</v>
      </c>
      <c r="N114" t="s">
        <v>109</v>
      </c>
      <c r="O114" t="s">
        <v>1519</v>
      </c>
      <c r="P114" t="s">
        <v>11</v>
      </c>
      <c r="Q114" t="str">
        <f t="shared" si="7"/>
        <v>Kid</v>
      </c>
    </row>
    <row r="115" spans="1:17" x14ac:dyDescent="0.3">
      <c r="A115" t="s">
        <v>1522</v>
      </c>
      <c r="B115">
        <v>2026</v>
      </c>
      <c r="C115" s="5" t="s">
        <v>1</v>
      </c>
      <c r="D115" t="s">
        <v>2</v>
      </c>
      <c r="E115" s="4">
        <v>8.1999999999999993</v>
      </c>
      <c r="F115" t="str">
        <f t="shared" si="4"/>
        <v>Watch</v>
      </c>
      <c r="G115" t="str">
        <f t="shared" si="5"/>
        <v>Good</v>
      </c>
      <c r="H115" t="str" cm="1">
        <f t="array" ref="H115">_xlfn.IFS(E115&gt;8,"Best",E115=7,"Good",E115&gt;7,"Good",E115&lt;7,"Avg",E115&lt;6,"Below Avg")</f>
        <v>Best</v>
      </c>
      <c r="I115">
        <v>130</v>
      </c>
      <c r="K115" s="3">
        <v>42720450</v>
      </c>
      <c r="L115" s="3">
        <v>11936460</v>
      </c>
      <c r="M115" s="3">
        <f t="shared" si="6"/>
        <v>30783990</v>
      </c>
      <c r="O115" t="s">
        <v>47</v>
      </c>
      <c r="P115" t="s">
        <v>4</v>
      </c>
      <c r="Q115" t="str">
        <f t="shared" si="7"/>
        <v>Adult</v>
      </c>
    </row>
    <row r="116" spans="1:17" x14ac:dyDescent="0.3">
      <c r="A116" t="s">
        <v>1523</v>
      </c>
      <c r="B116">
        <v>2026</v>
      </c>
      <c r="C116" s="5" t="s">
        <v>1</v>
      </c>
      <c r="D116" t="s">
        <v>8</v>
      </c>
      <c r="E116" s="4">
        <v>9.1</v>
      </c>
      <c r="F116" t="str">
        <f t="shared" si="4"/>
        <v>Watch</v>
      </c>
      <c r="G116" t="str">
        <f t="shared" si="5"/>
        <v>Best</v>
      </c>
      <c r="H116" t="str" cm="1">
        <f t="array" ref="H116">_xlfn.IFS(E116&gt;8,"Best",E116=7,"Good",E116&gt;7,"Good",E116&lt;7,"Avg",E116&lt;6,"Below Avg")</f>
        <v>Best</v>
      </c>
      <c r="I116">
        <v>106</v>
      </c>
      <c r="K116" s="3">
        <v>28552278</v>
      </c>
      <c r="L116" s="3">
        <v>22034852</v>
      </c>
      <c r="M116" s="3">
        <f t="shared" si="6"/>
        <v>6517426</v>
      </c>
      <c r="O116" t="s">
        <v>59</v>
      </c>
      <c r="P116" t="s">
        <v>11</v>
      </c>
      <c r="Q116" t="str">
        <f t="shared" si="7"/>
        <v>Kid</v>
      </c>
    </row>
    <row r="117" spans="1:17" x14ac:dyDescent="0.3">
      <c r="A117" t="s">
        <v>1524</v>
      </c>
      <c r="B117">
        <v>2026</v>
      </c>
      <c r="C117" s="5" t="s">
        <v>1</v>
      </c>
      <c r="D117" t="s">
        <v>27</v>
      </c>
      <c r="E117" s="4">
        <v>7.1</v>
      </c>
      <c r="F117" t="str">
        <f t="shared" si="4"/>
        <v>Watch</v>
      </c>
      <c r="G117" t="str">
        <f t="shared" si="5"/>
        <v>Good</v>
      </c>
      <c r="H117" t="str" cm="1">
        <f t="array" ref="H117">_xlfn.IFS(E117&gt;8,"Best",E117=7,"Good",E117&gt;7,"Good",E117&lt;7,"Avg",E117&lt;6,"Below Avg")</f>
        <v>Good</v>
      </c>
      <c r="I117">
        <v>134</v>
      </c>
      <c r="K117" s="3">
        <v>26395827</v>
      </c>
      <c r="L117" s="3">
        <v>20597218</v>
      </c>
      <c r="M117" s="3">
        <f t="shared" si="6"/>
        <v>5798609</v>
      </c>
      <c r="O117" t="s">
        <v>1525</v>
      </c>
      <c r="P117" t="s">
        <v>11</v>
      </c>
      <c r="Q117" t="str">
        <f t="shared" si="7"/>
        <v>Kid</v>
      </c>
    </row>
    <row r="118" spans="1:17" x14ac:dyDescent="0.3">
      <c r="A118" t="s">
        <v>1529</v>
      </c>
      <c r="B118">
        <v>2026</v>
      </c>
      <c r="C118" s="5" t="s">
        <v>1</v>
      </c>
      <c r="D118" t="s">
        <v>31</v>
      </c>
      <c r="E118" s="4">
        <v>7.2</v>
      </c>
      <c r="F118" t="str">
        <f t="shared" si="4"/>
        <v>Watch</v>
      </c>
      <c r="G118" t="str">
        <f t="shared" si="5"/>
        <v>Good</v>
      </c>
      <c r="H118" t="str" cm="1">
        <f t="array" ref="H118">_xlfn.IFS(E118&gt;8,"Best",E118=7,"Good",E118&gt;7,"Good",E118&lt;7,"Avg",E118&lt;6,"Below Avg")</f>
        <v>Good</v>
      </c>
      <c r="I118">
        <v>120</v>
      </c>
      <c r="K118" s="3">
        <v>31348665</v>
      </c>
      <c r="L118" s="3">
        <v>23899110</v>
      </c>
      <c r="M118" s="3">
        <f t="shared" si="6"/>
        <v>7449555</v>
      </c>
      <c r="O118" t="s">
        <v>1530</v>
      </c>
      <c r="P118" t="s">
        <v>11</v>
      </c>
      <c r="Q118" t="str">
        <f t="shared" si="7"/>
        <v>Kid</v>
      </c>
    </row>
    <row r="119" spans="1:17" x14ac:dyDescent="0.3">
      <c r="A119" t="s">
        <v>1531</v>
      </c>
      <c r="B119">
        <v>2026</v>
      </c>
      <c r="C119" s="5" t="s">
        <v>1</v>
      </c>
      <c r="D119" t="s">
        <v>27</v>
      </c>
      <c r="E119" s="4">
        <v>6.2</v>
      </c>
      <c r="F119" t="str">
        <f t="shared" si="4"/>
        <v>Don't Watch</v>
      </c>
      <c r="G119" t="str">
        <f t="shared" si="5"/>
        <v>Avg</v>
      </c>
      <c r="H119" t="str" cm="1">
        <f t="array" ref="H119">_xlfn.IFS(E119&gt;8,"Best",E119=7,"Good",E119&gt;7,"Good",E119&lt;7,"Avg",E119&lt;6,"Below Avg")</f>
        <v>Avg</v>
      </c>
      <c r="I119">
        <v>119</v>
      </c>
      <c r="K119" s="3">
        <v>28345632</v>
      </c>
      <c r="L119" s="3">
        <v>21897088</v>
      </c>
      <c r="M119" s="3">
        <f t="shared" si="6"/>
        <v>6448544</v>
      </c>
      <c r="O119" t="s">
        <v>1532</v>
      </c>
      <c r="P119" t="s">
        <v>11</v>
      </c>
      <c r="Q119" t="str">
        <f t="shared" si="7"/>
        <v>Kid</v>
      </c>
    </row>
    <row r="120" spans="1:17" x14ac:dyDescent="0.3">
      <c r="A120" t="s">
        <v>1533</v>
      </c>
      <c r="B120">
        <v>2026</v>
      </c>
      <c r="C120" s="5" t="s">
        <v>1</v>
      </c>
      <c r="D120" t="s">
        <v>35</v>
      </c>
      <c r="E120" s="4">
        <v>6.2</v>
      </c>
      <c r="F120" t="str">
        <f t="shared" si="4"/>
        <v>Don't Watch</v>
      </c>
      <c r="G120" t="str">
        <f t="shared" si="5"/>
        <v>Avg</v>
      </c>
      <c r="H120" t="str" cm="1">
        <f t="array" ref="H120">_xlfn.IFS(E120&gt;8,"Best",E120=7,"Good",E120&gt;7,"Good",E120&lt;7,"Avg",E120&lt;6,"Below Avg")</f>
        <v>Avg</v>
      </c>
      <c r="I120">
        <v>125</v>
      </c>
      <c r="K120" s="3">
        <v>26365830</v>
      </c>
      <c r="L120" s="3">
        <v>20577220</v>
      </c>
      <c r="M120" s="3">
        <f t="shared" si="6"/>
        <v>5788610</v>
      </c>
      <c r="O120" t="s">
        <v>625</v>
      </c>
      <c r="P120" t="s">
        <v>11</v>
      </c>
      <c r="Q120" t="str">
        <f t="shared" si="7"/>
        <v>Kid</v>
      </c>
    </row>
    <row r="121" spans="1:17" x14ac:dyDescent="0.3">
      <c r="A121" t="s">
        <v>1534</v>
      </c>
      <c r="B121">
        <v>2026</v>
      </c>
      <c r="C121" s="5" t="s">
        <v>1</v>
      </c>
      <c r="D121" t="s">
        <v>85</v>
      </c>
      <c r="E121" s="4">
        <v>6.2</v>
      </c>
      <c r="F121" t="str">
        <f t="shared" si="4"/>
        <v>Don't Watch</v>
      </c>
      <c r="G121" t="str">
        <f t="shared" si="5"/>
        <v>Avg</v>
      </c>
      <c r="H121" t="str" cm="1">
        <f t="array" ref="H121">_xlfn.IFS(E121&gt;8,"Best",E121=7,"Good",E121&gt;7,"Good",E121&lt;7,"Avg",E121&lt;6,"Below Avg")</f>
        <v>Avg</v>
      </c>
      <c r="I121">
        <v>134</v>
      </c>
      <c r="K121" s="3">
        <v>47742170</v>
      </c>
      <c r="L121" s="3">
        <v>13051996</v>
      </c>
      <c r="M121" s="3">
        <f t="shared" si="6"/>
        <v>34690174</v>
      </c>
      <c r="N121" t="s">
        <v>1535</v>
      </c>
      <c r="O121" t="s">
        <v>1536</v>
      </c>
      <c r="P121" t="s">
        <v>4</v>
      </c>
      <c r="Q121" t="str">
        <f t="shared" si="7"/>
        <v>Adult</v>
      </c>
    </row>
    <row r="122" spans="1:17" x14ac:dyDescent="0.3">
      <c r="A122" t="s">
        <v>1544</v>
      </c>
      <c r="B122">
        <v>2026</v>
      </c>
      <c r="C122" s="5" t="s">
        <v>1</v>
      </c>
      <c r="D122" t="s">
        <v>27</v>
      </c>
      <c r="E122" s="4">
        <v>7.4</v>
      </c>
      <c r="F122" t="str">
        <f t="shared" si="4"/>
        <v>Watch</v>
      </c>
      <c r="G122" t="str">
        <f t="shared" si="5"/>
        <v>Good</v>
      </c>
      <c r="H122" t="str" cm="1">
        <f t="array" ref="H122">_xlfn.IFS(E122&gt;8,"Best",E122=7,"Good",E122&gt;7,"Good",E122&lt;7,"Avg",E122&lt;6,"Below Avg")</f>
        <v>Good</v>
      </c>
      <c r="I122">
        <v>143</v>
      </c>
      <c r="K122" s="3">
        <v>27175749</v>
      </c>
      <c r="L122" s="3">
        <v>21117166</v>
      </c>
      <c r="M122" s="3">
        <f t="shared" si="6"/>
        <v>6058583</v>
      </c>
      <c r="N122" t="s">
        <v>1500</v>
      </c>
      <c r="O122" t="s">
        <v>1545</v>
      </c>
      <c r="P122" t="s">
        <v>11</v>
      </c>
      <c r="Q122" t="str">
        <f t="shared" si="7"/>
        <v>Kid</v>
      </c>
    </row>
    <row r="123" spans="1:17" x14ac:dyDescent="0.3">
      <c r="A123" t="s">
        <v>1546</v>
      </c>
      <c r="B123">
        <v>2026</v>
      </c>
      <c r="C123" s="5" t="s">
        <v>1</v>
      </c>
      <c r="D123" t="s">
        <v>8</v>
      </c>
      <c r="E123" s="4">
        <v>6.1</v>
      </c>
      <c r="F123" t="str">
        <f t="shared" si="4"/>
        <v>Don't Watch</v>
      </c>
      <c r="G123" t="str">
        <f t="shared" si="5"/>
        <v>Avg</v>
      </c>
      <c r="H123" t="str" cm="1">
        <f t="array" ref="H123">_xlfn.IFS(E123&gt;8,"Best",E123=7,"Good",E123&gt;7,"Good",E123&lt;7,"Avg",E123&lt;6,"Below Avg")</f>
        <v>Avg</v>
      </c>
      <c r="I123">
        <v>136</v>
      </c>
      <c r="K123" s="3">
        <v>27902343</v>
      </c>
      <c r="L123" s="3">
        <v>21601562</v>
      </c>
      <c r="M123" s="3">
        <f t="shared" si="6"/>
        <v>6300781</v>
      </c>
      <c r="O123" t="s">
        <v>1547</v>
      </c>
      <c r="P123" t="s">
        <v>11</v>
      </c>
      <c r="Q123" t="str">
        <f t="shared" si="7"/>
        <v>Kid</v>
      </c>
    </row>
    <row r="124" spans="1:17" x14ac:dyDescent="0.3">
      <c r="A124" t="s">
        <v>1548</v>
      </c>
      <c r="B124">
        <v>2026</v>
      </c>
      <c r="C124" s="5" t="s">
        <v>1</v>
      </c>
      <c r="D124" t="s">
        <v>8</v>
      </c>
      <c r="E124" s="4">
        <v>7.1</v>
      </c>
      <c r="F124" t="str">
        <f t="shared" si="4"/>
        <v>Watch</v>
      </c>
      <c r="G124" t="str">
        <f t="shared" si="5"/>
        <v>Good</v>
      </c>
      <c r="H124" t="str" cm="1">
        <f t="array" ref="H124">_xlfn.IFS(E124&gt;8,"Best",E124=7,"Good",E124&gt;7,"Good",E124&lt;7,"Avg",E124&lt;6,"Below Avg")</f>
        <v>Good</v>
      </c>
      <c r="I124">
        <v>143</v>
      </c>
      <c r="K124" s="3">
        <v>28925574</v>
      </c>
      <c r="L124" s="3">
        <v>22283716</v>
      </c>
      <c r="M124" s="3">
        <f t="shared" si="6"/>
        <v>6641858</v>
      </c>
      <c r="N124" t="s">
        <v>665</v>
      </c>
      <c r="O124" t="s">
        <v>1549</v>
      </c>
      <c r="P124" t="s">
        <v>11</v>
      </c>
      <c r="Q124" t="str">
        <f t="shared" si="7"/>
        <v>Kid</v>
      </c>
    </row>
    <row r="125" spans="1:17" x14ac:dyDescent="0.3">
      <c r="A125" t="s">
        <v>1550</v>
      </c>
      <c r="B125">
        <v>2026</v>
      </c>
      <c r="C125" s="5" t="s">
        <v>1</v>
      </c>
      <c r="D125" t="s">
        <v>31</v>
      </c>
      <c r="E125" s="4">
        <v>8.6999999999999993</v>
      </c>
      <c r="F125" t="str">
        <f t="shared" si="4"/>
        <v>Watch</v>
      </c>
      <c r="G125" t="str">
        <f t="shared" si="5"/>
        <v>Best</v>
      </c>
      <c r="H125" t="str" cm="1">
        <f t="array" ref="H125">_xlfn.IFS(E125&gt;8,"Best",E125=7,"Good",E125&gt;7,"Good",E125&lt;7,"Avg",E125&lt;6,"Below Avg")</f>
        <v>Best</v>
      </c>
      <c r="I125">
        <v>117</v>
      </c>
      <c r="K125" s="3">
        <v>29088891</v>
      </c>
      <c r="L125" s="3">
        <v>22392594</v>
      </c>
      <c r="M125" s="3">
        <f t="shared" si="6"/>
        <v>6696297</v>
      </c>
      <c r="N125" t="s">
        <v>1551</v>
      </c>
      <c r="O125" t="s">
        <v>67</v>
      </c>
      <c r="P125" t="s">
        <v>11</v>
      </c>
      <c r="Q125" t="str">
        <f t="shared" si="7"/>
        <v>Kid</v>
      </c>
    </row>
    <row r="126" spans="1:17" x14ac:dyDescent="0.3">
      <c r="A126" t="s">
        <v>1892</v>
      </c>
      <c r="B126">
        <v>2026</v>
      </c>
      <c r="C126" s="5" t="s">
        <v>434</v>
      </c>
      <c r="D126" t="s">
        <v>93</v>
      </c>
      <c r="E126" s="4">
        <v>8.4</v>
      </c>
      <c r="F126" t="str">
        <f t="shared" si="4"/>
        <v>Watch</v>
      </c>
      <c r="G126" t="str">
        <f t="shared" si="5"/>
        <v>Good</v>
      </c>
      <c r="H126" t="str" cm="1">
        <f t="array" ref="H126">_xlfn.IFS(E126&gt;8,"Best",E126=7,"Good",E126&gt;7,"Good",E126&lt;7,"Avg",E126&lt;6,"Below Avg")</f>
        <v>Best</v>
      </c>
      <c r="I126">
        <v>135</v>
      </c>
      <c r="K126" s="3">
        <v>30398760</v>
      </c>
      <c r="L126" s="3">
        <v>23265840</v>
      </c>
      <c r="M126" s="3">
        <f t="shared" si="6"/>
        <v>7132920</v>
      </c>
      <c r="O126" t="s">
        <v>436</v>
      </c>
      <c r="P126" t="s">
        <v>11</v>
      </c>
      <c r="Q126" t="str">
        <f t="shared" si="7"/>
        <v>Kid</v>
      </c>
    </row>
    <row r="127" spans="1:17" x14ac:dyDescent="0.3">
      <c r="A127" t="s">
        <v>1896</v>
      </c>
      <c r="B127">
        <v>2026</v>
      </c>
      <c r="C127" s="5" t="s">
        <v>434</v>
      </c>
      <c r="D127" t="s">
        <v>39</v>
      </c>
      <c r="E127" s="4">
        <v>7.6</v>
      </c>
      <c r="F127" t="str">
        <f t="shared" si="4"/>
        <v>Watch</v>
      </c>
      <c r="G127" t="str">
        <f t="shared" si="5"/>
        <v>Good</v>
      </c>
      <c r="H127" t="str" cm="1">
        <f t="array" ref="H127">_xlfn.IFS(E127&gt;8,"Best",E127=7,"Good",E127&gt;7,"Good",E127&lt;7,"Avg",E127&lt;6,"Below Avg")</f>
        <v>Good</v>
      </c>
      <c r="I127">
        <v>136</v>
      </c>
      <c r="K127" s="3">
        <v>30152118</v>
      </c>
      <c r="L127" s="3">
        <v>23101412</v>
      </c>
      <c r="M127" s="3">
        <f t="shared" si="6"/>
        <v>7050706</v>
      </c>
      <c r="O127" t="s">
        <v>1897</v>
      </c>
      <c r="P127" t="s">
        <v>11</v>
      </c>
      <c r="Q127" t="str">
        <f t="shared" si="7"/>
        <v>Kid</v>
      </c>
    </row>
    <row r="128" spans="1:17" x14ac:dyDescent="0.3">
      <c r="A128" t="s">
        <v>1904</v>
      </c>
      <c r="B128">
        <v>2026</v>
      </c>
      <c r="C128" s="5" t="s">
        <v>434</v>
      </c>
      <c r="D128" t="s">
        <v>93</v>
      </c>
      <c r="E128" s="4">
        <v>7</v>
      </c>
      <c r="F128" t="str">
        <f t="shared" si="4"/>
        <v>Watch</v>
      </c>
      <c r="G128" t="str">
        <f t="shared" si="5"/>
        <v>Avg</v>
      </c>
      <c r="H128" t="str" cm="1">
        <f t="array" ref="H128">_xlfn.IFS(E128&gt;8,"Best",E128=7,"Good",E128&gt;7,"Good",E128&lt;7,"Avg",E128&lt;6,"Below Avg")</f>
        <v>Good</v>
      </c>
      <c r="I128">
        <v>133</v>
      </c>
      <c r="K128" s="3">
        <v>481084710</v>
      </c>
      <c r="L128" s="3">
        <v>160880278</v>
      </c>
      <c r="M128" s="3">
        <f t="shared" si="6"/>
        <v>320204432</v>
      </c>
      <c r="N128" t="s">
        <v>1905</v>
      </c>
      <c r="O128" t="s">
        <v>1906</v>
      </c>
      <c r="P128" t="s">
        <v>403</v>
      </c>
      <c r="Q128" t="str">
        <f t="shared" si="7"/>
        <v>Kid</v>
      </c>
    </row>
    <row r="129" spans="1:17" x14ac:dyDescent="0.3">
      <c r="A129" t="s">
        <v>1915</v>
      </c>
      <c r="B129">
        <v>2026</v>
      </c>
      <c r="C129" s="5" t="s">
        <v>434</v>
      </c>
      <c r="D129" t="s">
        <v>31</v>
      </c>
      <c r="E129" s="4">
        <v>6</v>
      </c>
      <c r="F129" t="str">
        <f t="shared" si="4"/>
        <v>Don't Watch</v>
      </c>
      <c r="G129" t="str">
        <f t="shared" si="5"/>
        <v>Avg</v>
      </c>
      <c r="H129" t="str" cm="1">
        <f t="array" ref="H129">_xlfn.IFS(E129&gt;8,"Best",E129=7,"Good",E129&gt;7,"Good",E129&lt;7,"Avg",E129&lt;6,"Below Avg")</f>
        <v>Avg</v>
      </c>
      <c r="I129">
        <v>132</v>
      </c>
      <c r="K129" s="3">
        <v>510700365</v>
      </c>
      <c r="L129" s="3">
        <v>171246357</v>
      </c>
      <c r="M129" s="3">
        <f t="shared" si="6"/>
        <v>339454008</v>
      </c>
      <c r="N129" t="s">
        <v>1916</v>
      </c>
      <c r="O129" t="s">
        <v>1917</v>
      </c>
      <c r="P129" t="s">
        <v>11</v>
      </c>
      <c r="Q129" t="str">
        <f t="shared" si="7"/>
        <v>Kid</v>
      </c>
    </row>
    <row r="130" spans="1:17" x14ac:dyDescent="0.3">
      <c r="A130" t="s">
        <v>2158</v>
      </c>
      <c r="B130">
        <v>2026</v>
      </c>
      <c r="C130" s="5" t="s">
        <v>434</v>
      </c>
      <c r="D130" t="s">
        <v>27</v>
      </c>
      <c r="E130" s="4">
        <v>9</v>
      </c>
      <c r="F130" t="str">
        <f t="shared" ref="F130:F193" si="8">IF(E130&gt;6.5,"Watch","Don't Watch")</f>
        <v>Watch</v>
      </c>
      <c r="G130" t="str">
        <f t="shared" ref="G130:G193" si="9">IF(E130&gt;8.5,"Best",IF(E130&gt;7,"Good",IF(E130&gt;5,"Avg",IF(E130&lt;5,"Below Avg",IF(E130&lt;3,"Bad",)))))</f>
        <v>Best</v>
      </c>
      <c r="H130" t="str" cm="1">
        <f t="array" ref="H130">_xlfn.IFS(E130&gt;8,"Best",E130=7,"Good",E130&gt;7,"Good",E130&lt;7,"Avg",E130&lt;6,"Below Avg")</f>
        <v>Best</v>
      </c>
      <c r="I130">
        <v>114</v>
      </c>
      <c r="K130" s="3">
        <v>488257155</v>
      </c>
      <c r="L130" s="3">
        <v>163390779</v>
      </c>
      <c r="M130" s="3">
        <f t="shared" ref="M130:M193" si="10" xml:space="preserve"> (K130-L130)</f>
        <v>324866376</v>
      </c>
      <c r="N130" t="s">
        <v>2159</v>
      </c>
      <c r="O130" t="s">
        <v>2160</v>
      </c>
      <c r="P130" t="s">
        <v>11</v>
      </c>
      <c r="Q130" t="str">
        <f t="shared" ref="Q130:Q193" si="11">IF(P130="R","Adult","Kid")</f>
        <v>Kid</v>
      </c>
    </row>
    <row r="131" spans="1:17" x14ac:dyDescent="0.3">
      <c r="A131" t="s">
        <v>1922</v>
      </c>
      <c r="B131">
        <v>2026</v>
      </c>
      <c r="C131" s="5" t="s">
        <v>434</v>
      </c>
      <c r="D131" t="s">
        <v>8</v>
      </c>
      <c r="E131" s="4">
        <v>6.4</v>
      </c>
      <c r="F131" t="str">
        <f t="shared" si="8"/>
        <v>Don't Watch</v>
      </c>
      <c r="G131" t="str">
        <f t="shared" si="9"/>
        <v>Avg</v>
      </c>
      <c r="H131" t="str" cm="1">
        <f t="array" ref="H131">_xlfn.IFS(E131&gt;8,"Best",E131=7,"Good",E131&gt;7,"Good",E131&lt;7,"Avg",E131&lt;6,"Below Avg")</f>
        <v>Avg</v>
      </c>
      <c r="I131">
        <v>136</v>
      </c>
      <c r="K131" s="3">
        <v>31651968</v>
      </c>
      <c r="L131" s="3">
        <v>24101312</v>
      </c>
      <c r="M131" s="3">
        <f t="shared" si="10"/>
        <v>7550656</v>
      </c>
      <c r="N131" t="s">
        <v>1923</v>
      </c>
      <c r="O131" t="s">
        <v>1924</v>
      </c>
      <c r="P131" t="s">
        <v>11</v>
      </c>
      <c r="Q131" t="str">
        <f t="shared" si="11"/>
        <v>Kid</v>
      </c>
    </row>
    <row r="132" spans="1:17" x14ac:dyDescent="0.3">
      <c r="A132" t="s">
        <v>1936</v>
      </c>
      <c r="B132">
        <v>2026</v>
      </c>
      <c r="C132" s="5" t="s">
        <v>434</v>
      </c>
      <c r="D132" t="s">
        <v>232</v>
      </c>
      <c r="E132" s="4">
        <v>7</v>
      </c>
      <c r="F132" t="str">
        <f t="shared" si="8"/>
        <v>Watch</v>
      </c>
      <c r="G132" t="str">
        <f t="shared" si="9"/>
        <v>Avg</v>
      </c>
      <c r="H132" t="str" cm="1">
        <f t="array" ref="H132">_xlfn.IFS(E132&gt;8,"Best",E132=7,"Good",E132&gt;7,"Good",E132&lt;7,"Avg",E132&lt;6,"Below Avg")</f>
        <v>Good</v>
      </c>
      <c r="I132">
        <v>160</v>
      </c>
      <c r="K132" s="3">
        <v>509194275</v>
      </c>
      <c r="L132" s="3">
        <v>170719195</v>
      </c>
      <c r="M132" s="3">
        <f t="shared" si="10"/>
        <v>338475080</v>
      </c>
      <c r="N132" t="s">
        <v>1937</v>
      </c>
      <c r="O132" t="s">
        <v>1938</v>
      </c>
      <c r="P132" t="s">
        <v>11</v>
      </c>
      <c r="Q132" t="str">
        <f t="shared" si="11"/>
        <v>Kid</v>
      </c>
    </row>
    <row r="133" spans="1:17" x14ac:dyDescent="0.3">
      <c r="A133" t="s">
        <v>1939</v>
      </c>
      <c r="B133">
        <v>2026</v>
      </c>
      <c r="C133" s="5" t="s">
        <v>434</v>
      </c>
      <c r="D133" t="s">
        <v>61</v>
      </c>
      <c r="E133" s="4">
        <v>6.3</v>
      </c>
      <c r="F133" t="str">
        <f t="shared" si="8"/>
        <v>Don't Watch</v>
      </c>
      <c r="G133" t="str">
        <f t="shared" si="9"/>
        <v>Avg</v>
      </c>
      <c r="H133" t="str" cm="1">
        <f t="array" ref="H133">_xlfn.IFS(E133&gt;8,"Best",E133=7,"Good",E133&gt;7,"Good",E133&lt;7,"Avg",E133&lt;6,"Below Avg")</f>
        <v>Avg</v>
      </c>
      <c r="I133">
        <v>138</v>
      </c>
      <c r="K133" s="3">
        <v>30658734</v>
      </c>
      <c r="L133" s="3">
        <v>23439156</v>
      </c>
      <c r="M133" s="3">
        <f t="shared" si="10"/>
        <v>7219578</v>
      </c>
      <c r="N133" t="s">
        <v>305</v>
      </c>
      <c r="O133" t="s">
        <v>396</v>
      </c>
      <c r="P133" t="s">
        <v>11</v>
      </c>
      <c r="Q133" t="str">
        <f t="shared" si="11"/>
        <v>Kid</v>
      </c>
    </row>
    <row r="134" spans="1:17" x14ac:dyDescent="0.3">
      <c r="A134" t="s">
        <v>1940</v>
      </c>
      <c r="B134">
        <v>2026</v>
      </c>
      <c r="C134" s="5" t="s">
        <v>434</v>
      </c>
      <c r="D134" t="s">
        <v>2</v>
      </c>
      <c r="E134" s="4">
        <v>8.6999999999999993</v>
      </c>
      <c r="F134" t="str">
        <f t="shared" si="8"/>
        <v>Watch</v>
      </c>
      <c r="G134" t="str">
        <f t="shared" si="9"/>
        <v>Best</v>
      </c>
      <c r="H134" t="str" cm="1">
        <f t="array" ref="H134">_xlfn.IFS(E134&gt;8,"Best",E134=7,"Good",E134&gt;7,"Good",E134&lt;7,"Avg",E134&lt;6,"Below Avg")</f>
        <v>Best</v>
      </c>
      <c r="I134">
        <v>123</v>
      </c>
      <c r="K134" s="3">
        <v>44764690</v>
      </c>
      <c r="L134" s="3">
        <v>12390572</v>
      </c>
      <c r="M134" s="3">
        <f t="shared" si="10"/>
        <v>32374118</v>
      </c>
      <c r="N134" t="s">
        <v>1941</v>
      </c>
      <c r="O134" t="s">
        <v>1942</v>
      </c>
      <c r="P134" t="s">
        <v>4</v>
      </c>
      <c r="Q134" t="str">
        <f t="shared" si="11"/>
        <v>Adult</v>
      </c>
    </row>
    <row r="135" spans="1:17" x14ac:dyDescent="0.3">
      <c r="A135" t="s">
        <v>1945</v>
      </c>
      <c r="B135">
        <v>2026</v>
      </c>
      <c r="C135" s="5" t="s">
        <v>434</v>
      </c>
      <c r="D135" t="s">
        <v>116</v>
      </c>
      <c r="E135" s="4">
        <v>6.4</v>
      </c>
      <c r="F135" t="str">
        <f t="shared" si="8"/>
        <v>Don't Watch</v>
      </c>
      <c r="G135" t="str">
        <f t="shared" si="9"/>
        <v>Avg</v>
      </c>
      <c r="H135" t="str" cm="1">
        <f t="array" ref="H135">_xlfn.IFS(E135&gt;8,"Best",E135=7,"Good",E135&gt;7,"Good",E135&lt;7,"Avg",E135&lt;6,"Below Avg")</f>
        <v>Avg</v>
      </c>
      <c r="I135">
        <v>160</v>
      </c>
      <c r="K135" s="3">
        <v>501787275</v>
      </c>
      <c r="L135" s="3">
        <v>168126595</v>
      </c>
      <c r="M135" s="3">
        <f t="shared" si="10"/>
        <v>333660680</v>
      </c>
      <c r="N135" t="s">
        <v>1946</v>
      </c>
      <c r="O135" t="s">
        <v>1947</v>
      </c>
      <c r="P135" t="s">
        <v>11</v>
      </c>
      <c r="Q135" t="str">
        <f t="shared" si="11"/>
        <v>Kid</v>
      </c>
    </row>
    <row r="136" spans="1:17" x14ac:dyDescent="0.3">
      <c r="A136" t="s">
        <v>1893</v>
      </c>
      <c r="B136">
        <v>2026</v>
      </c>
      <c r="C136" s="5" t="s">
        <v>434</v>
      </c>
      <c r="D136" t="s">
        <v>19</v>
      </c>
      <c r="E136" s="4">
        <v>7.8</v>
      </c>
      <c r="F136" t="str">
        <f t="shared" si="8"/>
        <v>Watch</v>
      </c>
      <c r="G136" t="str">
        <f t="shared" si="9"/>
        <v>Good</v>
      </c>
      <c r="H136" t="str" cm="1">
        <f t="array" ref="H136">_xlfn.IFS(E136&gt;8,"Best",E136=7,"Good",E136&gt;7,"Good",E136&lt;7,"Avg",E136&lt;6,"Below Avg")</f>
        <v>Good</v>
      </c>
      <c r="I136">
        <v>117</v>
      </c>
      <c r="K136" s="3">
        <v>28838916</v>
      </c>
      <c r="L136" s="3">
        <v>22225944</v>
      </c>
      <c r="M136" s="3">
        <f t="shared" si="10"/>
        <v>6612972</v>
      </c>
      <c r="N136" t="s">
        <v>1894</v>
      </c>
      <c r="O136" t="s">
        <v>1895</v>
      </c>
      <c r="P136" t="s">
        <v>11</v>
      </c>
      <c r="Q136" t="str">
        <f t="shared" si="11"/>
        <v>Kid</v>
      </c>
    </row>
    <row r="137" spans="1:17" x14ac:dyDescent="0.3">
      <c r="A137" t="s">
        <v>1898</v>
      </c>
      <c r="B137">
        <v>2026</v>
      </c>
      <c r="C137" s="5" t="s">
        <v>434</v>
      </c>
      <c r="D137" t="s">
        <v>8</v>
      </c>
      <c r="E137" s="4">
        <v>6.9</v>
      </c>
      <c r="F137" t="str">
        <f t="shared" si="8"/>
        <v>Watch</v>
      </c>
      <c r="G137" t="str">
        <f t="shared" si="9"/>
        <v>Avg</v>
      </c>
      <c r="H137" t="str" cm="1">
        <f t="array" ref="H137">_xlfn.IFS(E137&gt;8,"Best",E137=7,"Good",E137&gt;7,"Good",E137&lt;7,"Avg",E137&lt;6,"Below Avg")</f>
        <v>Avg</v>
      </c>
      <c r="I137">
        <v>138</v>
      </c>
      <c r="K137" s="3">
        <v>27159084</v>
      </c>
      <c r="L137" s="3">
        <v>21106056</v>
      </c>
      <c r="M137" s="3">
        <f t="shared" si="10"/>
        <v>6053028</v>
      </c>
      <c r="N137" t="s">
        <v>1899</v>
      </c>
      <c r="O137" t="s">
        <v>1900</v>
      </c>
      <c r="P137" t="s">
        <v>11</v>
      </c>
      <c r="Q137" t="str">
        <f t="shared" si="11"/>
        <v>Kid</v>
      </c>
    </row>
    <row r="138" spans="1:17" x14ac:dyDescent="0.3">
      <c r="A138" t="s">
        <v>1901</v>
      </c>
      <c r="B138">
        <v>2026</v>
      </c>
      <c r="C138" s="5" t="s">
        <v>434</v>
      </c>
      <c r="D138" t="s">
        <v>19</v>
      </c>
      <c r="E138" s="4">
        <v>7.7</v>
      </c>
      <c r="F138" t="str">
        <f t="shared" si="8"/>
        <v>Watch</v>
      </c>
      <c r="G138" t="str">
        <f t="shared" si="9"/>
        <v>Good</v>
      </c>
      <c r="H138" t="str" cm="1">
        <f t="array" ref="H138">_xlfn.IFS(E138&gt;8,"Best",E138=7,"Good",E138&gt;7,"Good",E138&lt;7,"Avg",E138&lt;6,"Below Avg")</f>
        <v>Good</v>
      </c>
      <c r="I138">
        <v>137</v>
      </c>
      <c r="K138" s="3">
        <v>27405726</v>
      </c>
      <c r="L138" s="3">
        <v>21270484</v>
      </c>
      <c r="M138" s="3">
        <f t="shared" si="10"/>
        <v>6135242</v>
      </c>
      <c r="N138" t="s">
        <v>1902</v>
      </c>
      <c r="O138" t="s">
        <v>67</v>
      </c>
      <c r="P138" t="s">
        <v>11</v>
      </c>
      <c r="Q138" t="str">
        <f t="shared" si="11"/>
        <v>Kid</v>
      </c>
    </row>
    <row r="139" spans="1:17" x14ac:dyDescent="0.3">
      <c r="A139" t="s">
        <v>1903</v>
      </c>
      <c r="B139">
        <v>2026</v>
      </c>
      <c r="C139" s="5" t="s">
        <v>434</v>
      </c>
      <c r="D139" t="s">
        <v>27</v>
      </c>
      <c r="E139" s="4">
        <v>7.4</v>
      </c>
      <c r="F139" t="str">
        <f t="shared" si="8"/>
        <v>Watch</v>
      </c>
      <c r="G139" t="str">
        <f t="shared" si="9"/>
        <v>Good</v>
      </c>
      <c r="H139" t="str" cm="1">
        <f t="array" ref="H139">_xlfn.IFS(E139&gt;8,"Best",E139=7,"Good",E139&gt;7,"Good",E139&lt;7,"Avg",E139&lt;6,"Below Avg")</f>
        <v>Good</v>
      </c>
      <c r="I139">
        <v>125</v>
      </c>
      <c r="K139" s="3">
        <v>27615705</v>
      </c>
      <c r="L139" s="3">
        <v>21410470</v>
      </c>
      <c r="M139" s="3">
        <f t="shared" si="10"/>
        <v>6205235</v>
      </c>
      <c r="O139" t="s">
        <v>413</v>
      </c>
      <c r="P139" t="s">
        <v>11</v>
      </c>
      <c r="Q139" t="str">
        <f t="shared" si="11"/>
        <v>Kid</v>
      </c>
    </row>
    <row r="140" spans="1:17" x14ac:dyDescent="0.3">
      <c r="A140" t="s">
        <v>1907</v>
      </c>
      <c r="B140">
        <v>2026</v>
      </c>
      <c r="C140" s="5" t="s">
        <v>434</v>
      </c>
      <c r="D140" t="s">
        <v>2</v>
      </c>
      <c r="E140" s="4">
        <v>8.9</v>
      </c>
      <c r="F140" t="str">
        <f t="shared" si="8"/>
        <v>Watch</v>
      </c>
      <c r="G140" t="str">
        <f t="shared" si="9"/>
        <v>Best</v>
      </c>
      <c r="H140" t="str" cm="1">
        <f t="array" ref="H140">_xlfn.IFS(E140&gt;8,"Best",E140=7,"Good",E140&gt;7,"Good",E140&lt;7,"Avg",E140&lt;6,"Below Avg")</f>
        <v>Best</v>
      </c>
      <c r="I140">
        <v>128</v>
      </c>
      <c r="K140" s="3">
        <v>43125965</v>
      </c>
      <c r="L140" s="3">
        <v>12026542</v>
      </c>
      <c r="M140" s="3">
        <f t="shared" si="10"/>
        <v>31099423</v>
      </c>
      <c r="O140" t="s">
        <v>1908</v>
      </c>
      <c r="P140" t="s">
        <v>4</v>
      </c>
      <c r="Q140" t="str">
        <f t="shared" si="11"/>
        <v>Adult</v>
      </c>
    </row>
    <row r="141" spans="1:17" x14ac:dyDescent="0.3">
      <c r="A141" t="s">
        <v>1909</v>
      </c>
      <c r="B141">
        <v>2026</v>
      </c>
      <c r="C141" s="5" t="s">
        <v>434</v>
      </c>
      <c r="D141" t="s">
        <v>8</v>
      </c>
      <c r="E141" s="4">
        <v>6</v>
      </c>
      <c r="F141" t="str">
        <f t="shared" si="8"/>
        <v>Don't Watch</v>
      </c>
      <c r="G141" t="str">
        <f t="shared" si="9"/>
        <v>Avg</v>
      </c>
      <c r="H141" t="str" cm="1">
        <f t="array" ref="H141">_xlfn.IFS(E141&gt;8,"Best",E141=7,"Good",E141&gt;7,"Good",E141&lt;7,"Avg",E141&lt;6,"Below Avg")</f>
        <v>Avg</v>
      </c>
      <c r="I141">
        <v>99</v>
      </c>
      <c r="K141" s="3">
        <v>37028097</v>
      </c>
      <c r="L141" s="3">
        <v>27685398</v>
      </c>
      <c r="M141" s="3">
        <f t="shared" si="10"/>
        <v>9342699</v>
      </c>
      <c r="O141" t="s">
        <v>1910</v>
      </c>
      <c r="P141" t="s">
        <v>11</v>
      </c>
      <c r="Q141" t="str">
        <f t="shared" si="11"/>
        <v>Kid</v>
      </c>
    </row>
    <row r="142" spans="1:17" x14ac:dyDescent="0.3">
      <c r="A142" t="s">
        <v>1911</v>
      </c>
      <c r="B142">
        <v>2026</v>
      </c>
      <c r="C142" s="5" t="s">
        <v>434</v>
      </c>
      <c r="D142" t="s">
        <v>8</v>
      </c>
      <c r="E142" s="4">
        <v>9.1999999999999993</v>
      </c>
      <c r="F142" t="str">
        <f t="shared" si="8"/>
        <v>Watch</v>
      </c>
      <c r="G142" t="str">
        <f t="shared" si="9"/>
        <v>Best</v>
      </c>
      <c r="H142" t="str" cm="1">
        <f t="array" ref="H142">_xlfn.IFS(E142&gt;8,"Best",E142=7,"Good",E142&gt;7,"Good",E142&lt;7,"Avg",E142&lt;6,"Below Avg")</f>
        <v>Best</v>
      </c>
      <c r="I142">
        <v>161</v>
      </c>
      <c r="K142" s="3">
        <v>29985468</v>
      </c>
      <c r="L142" s="3">
        <v>22990312</v>
      </c>
      <c r="M142" s="3">
        <f t="shared" si="10"/>
        <v>6995156</v>
      </c>
      <c r="N142" t="s">
        <v>1912</v>
      </c>
      <c r="O142" t="s">
        <v>1913</v>
      </c>
      <c r="P142" t="s">
        <v>11</v>
      </c>
      <c r="Q142" t="str">
        <f t="shared" si="11"/>
        <v>Kid</v>
      </c>
    </row>
    <row r="143" spans="1:17" x14ac:dyDescent="0.3">
      <c r="A143" t="s">
        <v>1914</v>
      </c>
      <c r="B143">
        <v>2026</v>
      </c>
      <c r="C143" s="5" t="s">
        <v>434</v>
      </c>
      <c r="D143" t="s">
        <v>8</v>
      </c>
      <c r="E143" s="4">
        <v>7.1</v>
      </c>
      <c r="F143" t="str">
        <f t="shared" si="8"/>
        <v>Watch</v>
      </c>
      <c r="G143" t="str">
        <f t="shared" si="9"/>
        <v>Good</v>
      </c>
      <c r="H143" t="str" cm="1">
        <f t="array" ref="H143">_xlfn.IFS(E143&gt;8,"Best",E143=7,"Good",E143&gt;7,"Good",E143&lt;7,"Avg",E143&lt;6,"Below Avg")</f>
        <v>Good</v>
      </c>
      <c r="I143">
        <v>119</v>
      </c>
      <c r="K143" s="3">
        <v>28595607</v>
      </c>
      <c r="L143" s="3">
        <v>22063738</v>
      </c>
      <c r="M143" s="3">
        <f t="shared" si="10"/>
        <v>6531869</v>
      </c>
      <c r="N143" t="s">
        <v>1788</v>
      </c>
      <c r="O143" t="s">
        <v>590</v>
      </c>
      <c r="P143" t="s">
        <v>11</v>
      </c>
      <c r="Q143" t="str">
        <f t="shared" si="11"/>
        <v>Kid</v>
      </c>
    </row>
    <row r="144" spans="1:17" x14ac:dyDescent="0.3">
      <c r="A144" t="s">
        <v>1918</v>
      </c>
      <c r="B144">
        <v>2026</v>
      </c>
      <c r="C144" s="5" t="s">
        <v>434</v>
      </c>
      <c r="D144" t="s">
        <v>8</v>
      </c>
      <c r="E144" s="4">
        <v>8.9</v>
      </c>
      <c r="F144" t="str">
        <f t="shared" si="8"/>
        <v>Watch</v>
      </c>
      <c r="G144" t="str">
        <f t="shared" si="9"/>
        <v>Best</v>
      </c>
      <c r="H144" t="str" cm="1">
        <f t="array" ref="H144">_xlfn.IFS(E144&gt;8,"Best",E144=7,"Good",E144&gt;7,"Good",E144&lt;7,"Avg",E144&lt;6,"Below Avg")</f>
        <v>Best</v>
      </c>
      <c r="I144">
        <v>131</v>
      </c>
      <c r="K144" s="3">
        <v>27885678</v>
      </c>
      <c r="L144" s="3">
        <v>21590452</v>
      </c>
      <c r="M144" s="3">
        <f t="shared" si="10"/>
        <v>6295226</v>
      </c>
      <c r="O144" t="s">
        <v>1919</v>
      </c>
      <c r="P144" t="s">
        <v>11</v>
      </c>
      <c r="Q144" t="str">
        <f t="shared" si="11"/>
        <v>Kid</v>
      </c>
    </row>
    <row r="145" spans="1:17" x14ac:dyDescent="0.3">
      <c r="A145" t="s">
        <v>1920</v>
      </c>
      <c r="B145">
        <v>2026</v>
      </c>
      <c r="C145" s="5" t="s">
        <v>434</v>
      </c>
      <c r="D145" t="s">
        <v>39</v>
      </c>
      <c r="E145" s="4">
        <v>8</v>
      </c>
      <c r="F145" t="str">
        <f t="shared" si="8"/>
        <v>Watch</v>
      </c>
      <c r="G145" t="str">
        <f t="shared" si="9"/>
        <v>Good</v>
      </c>
      <c r="H145" t="str" cm="1">
        <f t="array" ref="H145">_xlfn.IFS(E145&gt;8,"Best",E145=7,"Good",E145&gt;7,"Good",E145&lt;7,"Avg",E145&lt;6,"Below Avg")</f>
        <v>Good</v>
      </c>
      <c r="I145">
        <v>146</v>
      </c>
      <c r="K145" s="3">
        <v>28185648</v>
      </c>
      <c r="L145" s="3">
        <v>21790432</v>
      </c>
      <c r="M145" s="3">
        <f t="shared" si="10"/>
        <v>6395216</v>
      </c>
      <c r="N145" t="s">
        <v>1921</v>
      </c>
      <c r="O145" t="s">
        <v>396</v>
      </c>
      <c r="P145" t="s">
        <v>11</v>
      </c>
      <c r="Q145" t="str">
        <f t="shared" si="11"/>
        <v>Kid</v>
      </c>
    </row>
    <row r="146" spans="1:17" x14ac:dyDescent="0.3">
      <c r="A146" t="s">
        <v>1925</v>
      </c>
      <c r="B146">
        <v>2026</v>
      </c>
      <c r="C146" s="5" t="s">
        <v>434</v>
      </c>
      <c r="D146" t="s">
        <v>8</v>
      </c>
      <c r="E146" s="4">
        <v>8.6</v>
      </c>
      <c r="F146" t="str">
        <f t="shared" si="8"/>
        <v>Watch</v>
      </c>
      <c r="G146" t="str">
        <f t="shared" si="9"/>
        <v>Best</v>
      </c>
      <c r="H146" t="str" cm="1">
        <f t="array" ref="H146">_xlfn.IFS(E146&gt;8,"Best",E146=7,"Good",E146&gt;7,"Good",E146&lt;7,"Avg",E146&lt;6,"Below Avg")</f>
        <v>Best</v>
      </c>
      <c r="I146">
        <v>161</v>
      </c>
      <c r="K146" s="3">
        <v>27985668</v>
      </c>
      <c r="L146" s="3">
        <v>21657112</v>
      </c>
      <c r="M146" s="3">
        <f t="shared" si="10"/>
        <v>6328556</v>
      </c>
      <c r="N146" t="s">
        <v>559</v>
      </c>
      <c r="O146" t="s">
        <v>1926</v>
      </c>
      <c r="P146" t="s">
        <v>11</v>
      </c>
      <c r="Q146" t="str">
        <f t="shared" si="11"/>
        <v>Kid</v>
      </c>
    </row>
    <row r="147" spans="1:17" x14ac:dyDescent="0.3">
      <c r="A147" t="s">
        <v>1927</v>
      </c>
      <c r="B147">
        <v>2026</v>
      </c>
      <c r="C147" s="5" t="s">
        <v>434</v>
      </c>
      <c r="D147" t="s">
        <v>49</v>
      </c>
      <c r="E147" s="4">
        <v>9.1</v>
      </c>
      <c r="F147" t="str">
        <f t="shared" si="8"/>
        <v>Watch</v>
      </c>
      <c r="G147" t="str">
        <f t="shared" si="9"/>
        <v>Best</v>
      </c>
      <c r="H147" t="str" cm="1">
        <f t="array" ref="H147">_xlfn.IFS(E147&gt;8,"Best",E147=7,"Good",E147&gt;7,"Good",E147&lt;7,"Avg",E147&lt;6,"Below Avg")</f>
        <v>Best</v>
      </c>
      <c r="I147">
        <v>127</v>
      </c>
      <c r="K147" s="3">
        <v>27122421</v>
      </c>
      <c r="L147" s="3">
        <v>21081614</v>
      </c>
      <c r="M147" s="3">
        <f t="shared" si="10"/>
        <v>6040807</v>
      </c>
      <c r="N147" t="s">
        <v>1928</v>
      </c>
      <c r="O147" t="s">
        <v>1929</v>
      </c>
      <c r="P147" t="s">
        <v>11</v>
      </c>
      <c r="Q147" t="str">
        <f t="shared" si="11"/>
        <v>Kid</v>
      </c>
    </row>
    <row r="148" spans="1:17" x14ac:dyDescent="0.3">
      <c r="A148" t="s">
        <v>1930</v>
      </c>
      <c r="B148">
        <v>2026</v>
      </c>
      <c r="C148" s="5" t="s">
        <v>434</v>
      </c>
      <c r="D148" t="s">
        <v>8</v>
      </c>
      <c r="E148" s="4">
        <v>7.9</v>
      </c>
      <c r="F148" t="str">
        <f t="shared" si="8"/>
        <v>Watch</v>
      </c>
      <c r="G148" t="str">
        <f t="shared" si="9"/>
        <v>Good</v>
      </c>
      <c r="H148" t="str" cm="1">
        <f t="array" ref="H148">_xlfn.IFS(E148&gt;8,"Best",E148=7,"Good",E148&gt;7,"Good",E148&lt;7,"Avg",E148&lt;6,"Below Avg")</f>
        <v>Good</v>
      </c>
      <c r="I148">
        <v>157</v>
      </c>
      <c r="K148" s="3">
        <v>26972436</v>
      </c>
      <c r="L148" s="3">
        <v>20981624</v>
      </c>
      <c r="M148" s="3">
        <f t="shared" si="10"/>
        <v>5990812</v>
      </c>
      <c r="N148" t="s">
        <v>1174</v>
      </c>
      <c r="O148" t="s">
        <v>1931</v>
      </c>
      <c r="P148" t="s">
        <v>11</v>
      </c>
      <c r="Q148" t="str">
        <f t="shared" si="11"/>
        <v>Kid</v>
      </c>
    </row>
    <row r="149" spans="1:17" x14ac:dyDescent="0.3">
      <c r="A149" t="s">
        <v>1932</v>
      </c>
      <c r="B149">
        <v>2026</v>
      </c>
      <c r="C149" s="5" t="s">
        <v>434</v>
      </c>
      <c r="D149" t="s">
        <v>49</v>
      </c>
      <c r="E149" s="4">
        <v>9.1999999999999993</v>
      </c>
      <c r="F149" t="str">
        <f t="shared" si="8"/>
        <v>Watch</v>
      </c>
      <c r="G149" t="str">
        <f t="shared" si="9"/>
        <v>Best</v>
      </c>
      <c r="H149" t="str" cm="1">
        <f t="array" ref="H149">_xlfn.IFS(E149&gt;8,"Best",E149=7,"Good",E149&gt;7,"Good",E149&lt;7,"Avg",E149&lt;6,"Below Avg")</f>
        <v>Best</v>
      </c>
      <c r="I149">
        <v>137</v>
      </c>
      <c r="K149" s="3">
        <v>29655501</v>
      </c>
      <c r="L149" s="3">
        <v>22770334</v>
      </c>
      <c r="M149" s="3">
        <f t="shared" si="10"/>
        <v>6885167</v>
      </c>
      <c r="O149" t="s">
        <v>932</v>
      </c>
      <c r="P149" t="s">
        <v>11</v>
      </c>
      <c r="Q149" t="str">
        <f t="shared" si="11"/>
        <v>Kid</v>
      </c>
    </row>
    <row r="150" spans="1:17" x14ac:dyDescent="0.3">
      <c r="A150" t="s">
        <v>1933</v>
      </c>
      <c r="B150">
        <v>2026</v>
      </c>
      <c r="C150" s="5" t="s">
        <v>434</v>
      </c>
      <c r="D150" t="s">
        <v>2</v>
      </c>
      <c r="E150" s="4">
        <v>7.3</v>
      </c>
      <c r="F150" t="str">
        <f t="shared" si="8"/>
        <v>Watch</v>
      </c>
      <c r="G150" t="str">
        <f t="shared" si="9"/>
        <v>Good</v>
      </c>
      <c r="H150" t="str" cm="1">
        <f t="array" ref="H150">_xlfn.IFS(E150&gt;8,"Best",E150=7,"Good",E150&gt;7,"Good",E150&lt;7,"Avg",E150&lt;6,"Below Avg")</f>
        <v>Good</v>
      </c>
      <c r="I150">
        <v>145</v>
      </c>
      <c r="K150" s="3">
        <v>43220400</v>
      </c>
      <c r="L150" s="3">
        <v>12047520</v>
      </c>
      <c r="M150" s="3">
        <f t="shared" si="10"/>
        <v>31172880</v>
      </c>
      <c r="N150" t="s">
        <v>1934</v>
      </c>
      <c r="O150" t="s">
        <v>1935</v>
      </c>
      <c r="P150" t="s">
        <v>4</v>
      </c>
      <c r="Q150" t="str">
        <f t="shared" si="11"/>
        <v>Adult</v>
      </c>
    </row>
    <row r="151" spans="1:17" x14ac:dyDescent="0.3">
      <c r="A151" t="s">
        <v>1943</v>
      </c>
      <c r="B151">
        <v>2026</v>
      </c>
      <c r="C151" s="5" t="s">
        <v>434</v>
      </c>
      <c r="D151" t="s">
        <v>8</v>
      </c>
      <c r="E151" s="4">
        <v>8.4</v>
      </c>
      <c r="F151" t="str">
        <f t="shared" si="8"/>
        <v>Watch</v>
      </c>
      <c r="G151" t="str">
        <f t="shared" si="9"/>
        <v>Good</v>
      </c>
      <c r="H151" t="str" cm="1">
        <f t="array" ref="H151">_xlfn.IFS(E151&gt;8,"Best",E151=7,"Good",E151&gt;7,"Good",E151&lt;7,"Avg",E151&lt;6,"Below Avg")</f>
        <v>Best</v>
      </c>
      <c r="I151">
        <v>141</v>
      </c>
      <c r="K151" s="3">
        <v>28418958</v>
      </c>
      <c r="L151" s="3">
        <v>21945972</v>
      </c>
      <c r="M151" s="3">
        <f t="shared" si="10"/>
        <v>6472986</v>
      </c>
      <c r="N151" t="s">
        <v>322</v>
      </c>
      <c r="O151" t="s">
        <v>1944</v>
      </c>
      <c r="P151" t="s">
        <v>11</v>
      </c>
      <c r="Q151" t="str">
        <f t="shared" si="11"/>
        <v>Kid</v>
      </c>
    </row>
    <row r="152" spans="1:17" x14ac:dyDescent="0.3">
      <c r="A152" t="s">
        <v>1948</v>
      </c>
      <c r="B152">
        <v>2026</v>
      </c>
      <c r="C152" s="5" t="s">
        <v>434</v>
      </c>
      <c r="D152" t="s">
        <v>27</v>
      </c>
      <c r="E152" s="4">
        <v>6.7</v>
      </c>
      <c r="F152" t="str">
        <f t="shared" si="8"/>
        <v>Watch</v>
      </c>
      <c r="G152" t="str">
        <f t="shared" si="9"/>
        <v>Avg</v>
      </c>
      <c r="H152" t="str" cm="1">
        <f t="array" ref="H152">_xlfn.IFS(E152&gt;8,"Best",E152=7,"Good",E152&gt;7,"Good",E152&lt;7,"Avg",E152&lt;6,"Below Avg")</f>
        <v>Avg</v>
      </c>
      <c r="I152">
        <v>130</v>
      </c>
      <c r="K152" s="3">
        <v>29132220</v>
      </c>
      <c r="L152" s="3">
        <v>22421480</v>
      </c>
      <c r="M152" s="3">
        <f t="shared" si="10"/>
        <v>6710740</v>
      </c>
      <c r="O152" t="s">
        <v>1949</v>
      </c>
      <c r="P152" t="s">
        <v>11</v>
      </c>
      <c r="Q152" t="str">
        <f t="shared" si="11"/>
        <v>Kid</v>
      </c>
    </row>
    <row r="153" spans="1:17" x14ac:dyDescent="0.3">
      <c r="A153" t="s">
        <v>1950</v>
      </c>
      <c r="B153">
        <v>2026</v>
      </c>
      <c r="C153" s="5" t="s">
        <v>434</v>
      </c>
      <c r="D153" t="s">
        <v>8</v>
      </c>
      <c r="E153" s="4">
        <v>8.6999999999999993</v>
      </c>
      <c r="F153" t="str">
        <f t="shared" si="8"/>
        <v>Watch</v>
      </c>
      <c r="G153" t="str">
        <f t="shared" si="9"/>
        <v>Best</v>
      </c>
      <c r="H153" t="str" cm="1">
        <f t="array" ref="H153">_xlfn.IFS(E153&gt;8,"Best",E153=7,"Good",E153&gt;7,"Good",E153&lt;7,"Avg",E153&lt;6,"Below Avg")</f>
        <v>Best</v>
      </c>
      <c r="I153">
        <v>135</v>
      </c>
      <c r="K153" s="3">
        <v>28648935</v>
      </c>
      <c r="L153" s="3">
        <v>22099290</v>
      </c>
      <c r="M153" s="3">
        <f t="shared" si="10"/>
        <v>6549645</v>
      </c>
      <c r="N153" t="s">
        <v>1951</v>
      </c>
      <c r="O153" t="s">
        <v>1952</v>
      </c>
      <c r="P153" t="s">
        <v>11</v>
      </c>
      <c r="Q153" t="str">
        <f t="shared" si="11"/>
        <v>Kid</v>
      </c>
    </row>
    <row r="154" spans="1:17" x14ac:dyDescent="0.3">
      <c r="A154" t="s">
        <v>1824</v>
      </c>
      <c r="B154">
        <v>2026</v>
      </c>
      <c r="C154" s="5" t="s">
        <v>387</v>
      </c>
      <c r="D154" t="s">
        <v>39</v>
      </c>
      <c r="E154" s="4">
        <v>7.5</v>
      </c>
      <c r="F154" t="str">
        <f t="shared" si="8"/>
        <v>Watch</v>
      </c>
      <c r="G154" t="str">
        <f t="shared" si="9"/>
        <v>Good</v>
      </c>
      <c r="H154" t="str" cm="1">
        <f t="array" ref="H154">_xlfn.IFS(E154&gt;8,"Best",E154=7,"Good",E154&gt;7,"Good",E154&lt;7,"Avg",E154&lt;6,"Below Avg")</f>
        <v>Good</v>
      </c>
      <c r="I154">
        <v>99</v>
      </c>
      <c r="K154" s="3">
        <v>28278972</v>
      </c>
      <c r="L154" s="3">
        <v>21852648</v>
      </c>
      <c r="M154" s="3">
        <f t="shared" si="10"/>
        <v>6426324</v>
      </c>
      <c r="N154" t="s">
        <v>1825</v>
      </c>
      <c r="O154" t="s">
        <v>1826</v>
      </c>
      <c r="P154" t="s">
        <v>11</v>
      </c>
      <c r="Q154" t="str">
        <f t="shared" si="11"/>
        <v>Kid</v>
      </c>
    </row>
    <row r="155" spans="1:17" x14ac:dyDescent="0.3">
      <c r="A155" t="s">
        <v>1841</v>
      </c>
      <c r="B155">
        <v>2026</v>
      </c>
      <c r="C155" s="5" t="s">
        <v>387</v>
      </c>
      <c r="D155" t="s">
        <v>8</v>
      </c>
      <c r="E155" s="4">
        <v>9.1</v>
      </c>
      <c r="F155" t="str">
        <f t="shared" si="8"/>
        <v>Watch</v>
      </c>
      <c r="G155" t="str">
        <f t="shared" si="9"/>
        <v>Best</v>
      </c>
      <c r="H155" t="str" cm="1">
        <f t="array" ref="H155">_xlfn.IFS(E155&gt;8,"Best",E155=7,"Good",E155&gt;7,"Good",E155&lt;7,"Avg",E155&lt;6,"Below Avg")</f>
        <v>Best</v>
      </c>
      <c r="I155">
        <v>112</v>
      </c>
      <c r="K155" s="3">
        <v>29322201</v>
      </c>
      <c r="L155" s="3">
        <v>22548134</v>
      </c>
      <c r="M155" s="3">
        <f t="shared" si="10"/>
        <v>6774067</v>
      </c>
      <c r="N155" t="s">
        <v>1842</v>
      </c>
      <c r="O155" t="s">
        <v>1119</v>
      </c>
      <c r="P155" t="s">
        <v>11</v>
      </c>
      <c r="Q155" t="str">
        <f t="shared" si="11"/>
        <v>Kid</v>
      </c>
    </row>
    <row r="156" spans="1:17" x14ac:dyDescent="0.3">
      <c r="A156" t="s">
        <v>1852</v>
      </c>
      <c r="B156">
        <v>2026</v>
      </c>
      <c r="C156" s="5" t="s">
        <v>387</v>
      </c>
      <c r="D156" t="s">
        <v>27</v>
      </c>
      <c r="E156" s="4">
        <v>7.7</v>
      </c>
      <c r="F156" t="str">
        <f t="shared" si="8"/>
        <v>Watch</v>
      </c>
      <c r="G156" t="str">
        <f t="shared" si="9"/>
        <v>Good</v>
      </c>
      <c r="H156" t="str" cm="1">
        <f t="array" ref="H156">_xlfn.IFS(E156&gt;8,"Best",E156=7,"Good",E156&gt;7,"Good",E156&lt;7,"Avg",E156&lt;6,"Below Avg")</f>
        <v>Good</v>
      </c>
      <c r="I156">
        <v>119</v>
      </c>
      <c r="K156" s="3">
        <v>30595407</v>
      </c>
      <c r="L156" s="3">
        <v>23396938</v>
      </c>
      <c r="M156" s="3">
        <f t="shared" si="10"/>
        <v>7198469</v>
      </c>
      <c r="N156" t="s">
        <v>1853</v>
      </c>
      <c r="O156" t="s">
        <v>590</v>
      </c>
      <c r="P156" t="s">
        <v>11</v>
      </c>
      <c r="Q156" t="str">
        <f t="shared" si="11"/>
        <v>Kid</v>
      </c>
    </row>
    <row r="157" spans="1:17" x14ac:dyDescent="0.3">
      <c r="A157" t="s">
        <v>1854</v>
      </c>
      <c r="B157">
        <v>2026</v>
      </c>
      <c r="C157" s="5" t="s">
        <v>387</v>
      </c>
      <c r="D157" t="s">
        <v>8</v>
      </c>
      <c r="E157" s="4">
        <v>7.7</v>
      </c>
      <c r="F157" t="str">
        <f t="shared" si="8"/>
        <v>Watch</v>
      </c>
      <c r="G157" t="str">
        <f t="shared" si="9"/>
        <v>Good</v>
      </c>
      <c r="H157" t="str" cm="1">
        <f t="array" ref="H157">_xlfn.IFS(E157&gt;8,"Best",E157=7,"Good",E157&gt;7,"Good",E157&lt;7,"Avg",E157&lt;6,"Below Avg")</f>
        <v>Good</v>
      </c>
      <c r="I157">
        <v>125</v>
      </c>
      <c r="K157" s="3">
        <v>28615605</v>
      </c>
      <c r="L157" s="3">
        <v>22077070</v>
      </c>
      <c r="M157" s="3">
        <f t="shared" si="10"/>
        <v>6538535</v>
      </c>
      <c r="N157" t="s">
        <v>1855</v>
      </c>
      <c r="O157" t="s">
        <v>1856</v>
      </c>
      <c r="P157" t="s">
        <v>11</v>
      </c>
      <c r="Q157" t="str">
        <f t="shared" si="11"/>
        <v>Kid</v>
      </c>
    </row>
    <row r="158" spans="1:17" x14ac:dyDescent="0.3">
      <c r="A158" t="s">
        <v>1860</v>
      </c>
      <c r="B158">
        <v>2026</v>
      </c>
      <c r="C158" s="5" t="s">
        <v>387</v>
      </c>
      <c r="D158" t="s">
        <v>93</v>
      </c>
      <c r="E158" s="4">
        <v>6.1</v>
      </c>
      <c r="F158" t="str">
        <f t="shared" si="8"/>
        <v>Don't Watch</v>
      </c>
      <c r="G158" t="str">
        <f t="shared" si="9"/>
        <v>Avg</v>
      </c>
      <c r="H158" t="str" cm="1">
        <f t="array" ref="H158">_xlfn.IFS(E158&gt;8,"Best",E158=7,"Good",E158&gt;7,"Good",E158&lt;7,"Avg",E158&lt;6,"Below Avg")</f>
        <v>Avg</v>
      </c>
      <c r="I158">
        <v>94</v>
      </c>
      <c r="K158" s="3">
        <v>28012332</v>
      </c>
      <c r="L158" s="3">
        <v>21674888</v>
      </c>
      <c r="M158" s="3">
        <f t="shared" si="10"/>
        <v>6337444</v>
      </c>
      <c r="O158" t="s">
        <v>402</v>
      </c>
      <c r="P158" t="s">
        <v>11</v>
      </c>
      <c r="Q158" t="str">
        <f t="shared" si="11"/>
        <v>Kid</v>
      </c>
    </row>
    <row r="159" spans="1:17" x14ac:dyDescent="0.3">
      <c r="A159" t="s">
        <v>1863</v>
      </c>
      <c r="B159">
        <v>2026</v>
      </c>
      <c r="C159" s="5" t="s">
        <v>387</v>
      </c>
      <c r="D159" t="s">
        <v>116</v>
      </c>
      <c r="E159" s="4">
        <v>7.3</v>
      </c>
      <c r="F159" t="str">
        <f t="shared" si="8"/>
        <v>Watch</v>
      </c>
      <c r="G159" t="str">
        <f t="shared" si="9"/>
        <v>Good</v>
      </c>
      <c r="H159" t="str" cm="1">
        <f t="array" ref="H159">_xlfn.IFS(E159&gt;8,"Best",E159=7,"Good",E159&gt;7,"Good",E159&lt;7,"Avg",E159&lt;6,"Below Avg")</f>
        <v>Good</v>
      </c>
      <c r="I159">
        <v>148</v>
      </c>
      <c r="K159" s="3">
        <v>27942339</v>
      </c>
      <c r="L159" s="3">
        <v>21628226</v>
      </c>
      <c r="M159" s="3">
        <f t="shared" si="10"/>
        <v>6314113</v>
      </c>
      <c r="N159" t="s">
        <v>1864</v>
      </c>
      <c r="O159" t="s">
        <v>1865</v>
      </c>
      <c r="P159" t="s">
        <v>11</v>
      </c>
      <c r="Q159" t="str">
        <f t="shared" si="11"/>
        <v>Kid</v>
      </c>
    </row>
    <row r="160" spans="1:17" x14ac:dyDescent="0.3">
      <c r="A160" t="s">
        <v>1827</v>
      </c>
      <c r="B160">
        <v>2026</v>
      </c>
      <c r="C160" s="5" t="s">
        <v>387</v>
      </c>
      <c r="D160" t="s">
        <v>127</v>
      </c>
      <c r="E160" s="4">
        <v>7.6</v>
      </c>
      <c r="F160" t="str">
        <f t="shared" si="8"/>
        <v>Watch</v>
      </c>
      <c r="G160" t="str">
        <f t="shared" si="9"/>
        <v>Good</v>
      </c>
      <c r="H160" t="str" cm="1">
        <f t="array" ref="H160">_xlfn.IFS(E160&gt;8,"Best",E160=7,"Good",E160&gt;7,"Good",E160&lt;7,"Avg",E160&lt;6,"Below Avg")</f>
        <v>Good</v>
      </c>
      <c r="I160">
        <v>130</v>
      </c>
      <c r="K160" s="3">
        <v>32131920</v>
      </c>
      <c r="L160" s="3">
        <v>24421280</v>
      </c>
      <c r="M160" s="3">
        <f t="shared" si="10"/>
        <v>7710640</v>
      </c>
      <c r="N160" t="s">
        <v>1828</v>
      </c>
      <c r="O160" t="s">
        <v>1829</v>
      </c>
      <c r="P160" t="s">
        <v>11</v>
      </c>
      <c r="Q160" t="str">
        <f t="shared" si="11"/>
        <v>Kid</v>
      </c>
    </row>
    <row r="161" spans="1:17" x14ac:dyDescent="0.3">
      <c r="A161" t="s">
        <v>1830</v>
      </c>
      <c r="B161">
        <v>2026</v>
      </c>
      <c r="C161" s="5" t="s">
        <v>387</v>
      </c>
      <c r="D161" t="s">
        <v>27</v>
      </c>
      <c r="E161" s="4">
        <v>8.1999999999999993</v>
      </c>
      <c r="F161" t="str">
        <f t="shared" si="8"/>
        <v>Watch</v>
      </c>
      <c r="G161" t="str">
        <f t="shared" si="9"/>
        <v>Good</v>
      </c>
      <c r="H161" t="str" cm="1">
        <f t="array" ref="H161">_xlfn.IFS(E161&gt;8,"Best",E161=7,"Good",E161&gt;7,"Good",E161&lt;7,"Avg",E161&lt;6,"Below Avg")</f>
        <v>Best</v>
      </c>
      <c r="I161">
        <v>145</v>
      </c>
      <c r="K161" s="3">
        <v>29182215</v>
      </c>
      <c r="L161" s="3">
        <v>22454810</v>
      </c>
      <c r="M161" s="3">
        <f t="shared" si="10"/>
        <v>6727405</v>
      </c>
      <c r="N161" t="s">
        <v>1831</v>
      </c>
      <c r="O161" t="s">
        <v>1832</v>
      </c>
      <c r="P161" t="s">
        <v>11</v>
      </c>
      <c r="Q161" t="str">
        <f t="shared" si="11"/>
        <v>Kid</v>
      </c>
    </row>
    <row r="162" spans="1:17" x14ac:dyDescent="0.3">
      <c r="A162" t="s">
        <v>1833</v>
      </c>
      <c r="B162">
        <v>2026</v>
      </c>
      <c r="C162" s="5" t="s">
        <v>387</v>
      </c>
      <c r="D162" t="s">
        <v>39</v>
      </c>
      <c r="E162" s="4">
        <v>7.4</v>
      </c>
      <c r="F162" t="str">
        <f t="shared" si="8"/>
        <v>Watch</v>
      </c>
      <c r="G162" t="str">
        <f t="shared" si="9"/>
        <v>Good</v>
      </c>
      <c r="H162" t="str" cm="1">
        <f t="array" ref="H162">_xlfn.IFS(E162&gt;8,"Best",E162=7,"Good",E162&gt;7,"Good",E162&lt;7,"Avg",E162&lt;6,"Below Avg")</f>
        <v>Good</v>
      </c>
      <c r="I162">
        <v>113</v>
      </c>
      <c r="K162" s="3">
        <v>26075859</v>
      </c>
      <c r="L162" s="3">
        <v>20383906</v>
      </c>
      <c r="M162" s="3">
        <f t="shared" si="10"/>
        <v>5691953</v>
      </c>
      <c r="O162" t="s">
        <v>1834</v>
      </c>
      <c r="P162" t="s">
        <v>11</v>
      </c>
      <c r="Q162" t="str">
        <f t="shared" si="11"/>
        <v>Kid</v>
      </c>
    </row>
    <row r="163" spans="1:17" x14ac:dyDescent="0.3">
      <c r="A163" t="s">
        <v>1835</v>
      </c>
      <c r="B163">
        <v>2026</v>
      </c>
      <c r="C163" s="5" t="s">
        <v>387</v>
      </c>
      <c r="D163" t="s">
        <v>8</v>
      </c>
      <c r="E163" s="4">
        <v>7.7</v>
      </c>
      <c r="F163" t="str">
        <f t="shared" si="8"/>
        <v>Watch</v>
      </c>
      <c r="G163" t="str">
        <f t="shared" si="9"/>
        <v>Good</v>
      </c>
      <c r="H163" t="str" cm="1">
        <f t="array" ref="H163">_xlfn.IFS(E163&gt;8,"Best",E163=7,"Good",E163&gt;7,"Good",E163&lt;7,"Avg",E163&lt;6,"Below Avg")</f>
        <v>Good</v>
      </c>
      <c r="I163">
        <v>95</v>
      </c>
      <c r="K163" s="3">
        <v>30265440</v>
      </c>
      <c r="L163" s="3">
        <v>23176960</v>
      </c>
      <c r="M163" s="3">
        <f t="shared" si="10"/>
        <v>7088480</v>
      </c>
      <c r="N163" t="s">
        <v>1836</v>
      </c>
      <c r="O163" t="s">
        <v>1837</v>
      </c>
      <c r="P163" t="s">
        <v>11</v>
      </c>
      <c r="Q163" t="str">
        <f t="shared" si="11"/>
        <v>Kid</v>
      </c>
    </row>
    <row r="164" spans="1:17" x14ac:dyDescent="0.3">
      <c r="A164" t="s">
        <v>1838</v>
      </c>
      <c r="B164">
        <v>2026</v>
      </c>
      <c r="C164" s="5" t="s">
        <v>387</v>
      </c>
      <c r="D164" t="s">
        <v>8</v>
      </c>
      <c r="E164" s="4">
        <v>7.6</v>
      </c>
      <c r="F164" t="str">
        <f t="shared" si="8"/>
        <v>Watch</v>
      </c>
      <c r="G164" t="str">
        <f t="shared" si="9"/>
        <v>Good</v>
      </c>
      <c r="H164" t="str" cm="1">
        <f t="array" ref="H164">_xlfn.IFS(E164&gt;8,"Best",E164=7,"Good",E164&gt;7,"Good",E164&lt;7,"Avg",E164&lt;6,"Below Avg")</f>
        <v>Good</v>
      </c>
      <c r="I164">
        <v>148</v>
      </c>
      <c r="K164" s="3">
        <v>28942239</v>
      </c>
      <c r="L164" s="3">
        <v>22294826</v>
      </c>
      <c r="M164" s="3">
        <f t="shared" si="10"/>
        <v>6647413</v>
      </c>
      <c r="N164" t="s">
        <v>1839</v>
      </c>
      <c r="O164" t="s">
        <v>1840</v>
      </c>
      <c r="P164" t="s">
        <v>11</v>
      </c>
      <c r="Q164" t="str">
        <f t="shared" si="11"/>
        <v>Kid</v>
      </c>
    </row>
    <row r="165" spans="1:17" x14ac:dyDescent="0.3">
      <c r="A165" t="s">
        <v>1843</v>
      </c>
      <c r="B165">
        <v>2026</v>
      </c>
      <c r="C165" s="5" t="s">
        <v>387</v>
      </c>
      <c r="D165" t="s">
        <v>8</v>
      </c>
      <c r="E165" s="4">
        <v>7.3</v>
      </c>
      <c r="F165" t="str">
        <f t="shared" si="8"/>
        <v>Watch</v>
      </c>
      <c r="G165" t="str">
        <f t="shared" si="9"/>
        <v>Good</v>
      </c>
      <c r="H165" t="str" cm="1">
        <f t="array" ref="H165">_xlfn.IFS(E165&gt;8,"Best",E165=7,"Good",E165&gt;7,"Good",E165&lt;7,"Avg",E165&lt;6,"Below Avg")</f>
        <v>Good</v>
      </c>
      <c r="I165">
        <v>157</v>
      </c>
      <c r="K165" s="3">
        <v>30472086</v>
      </c>
      <c r="L165" s="3">
        <v>23314724</v>
      </c>
      <c r="M165" s="3">
        <f t="shared" si="10"/>
        <v>7157362</v>
      </c>
      <c r="O165" t="s">
        <v>1844</v>
      </c>
      <c r="P165" t="s">
        <v>11</v>
      </c>
      <c r="Q165" t="str">
        <f t="shared" si="11"/>
        <v>Kid</v>
      </c>
    </row>
    <row r="166" spans="1:17" x14ac:dyDescent="0.3">
      <c r="A166" t="s">
        <v>1845</v>
      </c>
      <c r="B166">
        <v>2026</v>
      </c>
      <c r="C166" s="5" t="s">
        <v>387</v>
      </c>
      <c r="D166" t="s">
        <v>8</v>
      </c>
      <c r="E166" s="4">
        <v>8.4</v>
      </c>
      <c r="F166" t="str">
        <f t="shared" si="8"/>
        <v>Watch</v>
      </c>
      <c r="G166" t="str">
        <f t="shared" si="9"/>
        <v>Good</v>
      </c>
      <c r="H166" t="str" cm="1">
        <f t="array" ref="H166">_xlfn.IFS(E166&gt;8,"Best",E166=7,"Good",E166&gt;7,"Good",E166&lt;7,"Avg",E166&lt;6,"Below Avg")</f>
        <v>Best</v>
      </c>
      <c r="I166">
        <v>162</v>
      </c>
      <c r="K166" s="3">
        <v>29738826</v>
      </c>
      <c r="L166" s="3">
        <v>22825884</v>
      </c>
      <c r="M166" s="3">
        <f t="shared" si="10"/>
        <v>6912942</v>
      </c>
      <c r="N166" t="s">
        <v>1846</v>
      </c>
      <c r="O166" t="s">
        <v>1847</v>
      </c>
      <c r="P166" t="s">
        <v>11</v>
      </c>
      <c r="Q166" t="str">
        <f t="shared" si="11"/>
        <v>Kid</v>
      </c>
    </row>
    <row r="167" spans="1:17" x14ac:dyDescent="0.3">
      <c r="A167" t="s">
        <v>1848</v>
      </c>
      <c r="B167">
        <v>2026</v>
      </c>
      <c r="C167" s="5" t="s">
        <v>387</v>
      </c>
      <c r="D167" t="s">
        <v>304</v>
      </c>
      <c r="E167" s="4">
        <v>8.6999999999999993</v>
      </c>
      <c r="F167" t="str">
        <f t="shared" si="8"/>
        <v>Watch</v>
      </c>
      <c r="G167" t="str">
        <f t="shared" si="9"/>
        <v>Best</v>
      </c>
      <c r="H167" t="str" cm="1">
        <f t="array" ref="H167">_xlfn.IFS(E167&gt;8,"Best",E167=7,"Good",E167&gt;7,"Good",E167&lt;7,"Avg",E167&lt;6,"Below Avg")</f>
        <v>Best</v>
      </c>
      <c r="I167">
        <v>93</v>
      </c>
      <c r="K167" s="3">
        <v>31508649</v>
      </c>
      <c r="L167" s="3">
        <v>24005766</v>
      </c>
      <c r="M167" s="3">
        <f t="shared" si="10"/>
        <v>7502883</v>
      </c>
      <c r="O167" t="s">
        <v>396</v>
      </c>
      <c r="P167" t="s">
        <v>11</v>
      </c>
      <c r="Q167" t="str">
        <f t="shared" si="11"/>
        <v>Kid</v>
      </c>
    </row>
    <row r="168" spans="1:17" x14ac:dyDescent="0.3">
      <c r="A168" t="s">
        <v>1849</v>
      </c>
      <c r="B168">
        <v>2026</v>
      </c>
      <c r="C168" s="5" t="s">
        <v>387</v>
      </c>
      <c r="D168" t="s">
        <v>8</v>
      </c>
      <c r="E168" s="4">
        <v>7.4</v>
      </c>
      <c r="F168" t="str">
        <f t="shared" si="8"/>
        <v>Watch</v>
      </c>
      <c r="G168" t="str">
        <f t="shared" si="9"/>
        <v>Good</v>
      </c>
      <c r="H168" t="str" cm="1">
        <f t="array" ref="H168">_xlfn.IFS(E168&gt;8,"Best",E168=7,"Good",E168&gt;7,"Good",E168&lt;7,"Avg",E168&lt;6,"Below Avg")</f>
        <v>Good</v>
      </c>
      <c r="I168">
        <v>140</v>
      </c>
      <c r="K168" s="3">
        <v>28165650</v>
      </c>
      <c r="L168" s="3">
        <v>21777100</v>
      </c>
      <c r="M168" s="3">
        <f t="shared" si="10"/>
        <v>6388550</v>
      </c>
      <c r="O168" t="s">
        <v>413</v>
      </c>
      <c r="P168" t="s">
        <v>11</v>
      </c>
      <c r="Q168" t="str">
        <f t="shared" si="11"/>
        <v>Kid</v>
      </c>
    </row>
    <row r="169" spans="1:17" x14ac:dyDescent="0.3">
      <c r="A169" t="s">
        <v>1850</v>
      </c>
      <c r="B169">
        <v>2026</v>
      </c>
      <c r="C169" s="5" t="s">
        <v>387</v>
      </c>
      <c r="D169" t="s">
        <v>39</v>
      </c>
      <c r="E169" s="4">
        <v>8</v>
      </c>
      <c r="F169" t="str">
        <f t="shared" si="8"/>
        <v>Watch</v>
      </c>
      <c r="G169" t="str">
        <f t="shared" si="9"/>
        <v>Good</v>
      </c>
      <c r="H169" t="str" cm="1">
        <f t="array" ref="H169">_xlfn.IFS(E169&gt;8,"Best",E169=7,"Good",E169&gt;7,"Good",E169&lt;7,"Avg",E169&lt;6,"Below Avg")</f>
        <v>Good</v>
      </c>
      <c r="I169">
        <v>128</v>
      </c>
      <c r="K169" s="3">
        <v>28625604</v>
      </c>
      <c r="L169" s="3">
        <v>22083736</v>
      </c>
      <c r="M169" s="3">
        <f t="shared" si="10"/>
        <v>6541868</v>
      </c>
      <c r="N169" t="s">
        <v>1851</v>
      </c>
      <c r="O169" t="s">
        <v>396</v>
      </c>
      <c r="P169" t="s">
        <v>11</v>
      </c>
      <c r="Q169" t="str">
        <f t="shared" si="11"/>
        <v>Kid</v>
      </c>
    </row>
    <row r="170" spans="1:17" x14ac:dyDescent="0.3">
      <c r="A170" t="s">
        <v>1857</v>
      </c>
      <c r="B170">
        <v>2026</v>
      </c>
      <c r="C170" s="5" t="s">
        <v>387</v>
      </c>
      <c r="D170" t="s">
        <v>8</v>
      </c>
      <c r="E170" s="4">
        <v>8.6999999999999993</v>
      </c>
      <c r="F170" t="str">
        <f t="shared" si="8"/>
        <v>Watch</v>
      </c>
      <c r="G170" t="str">
        <f t="shared" si="9"/>
        <v>Best</v>
      </c>
      <c r="H170" t="str" cm="1">
        <f t="array" ref="H170">_xlfn.IFS(E170&gt;8,"Best",E170=7,"Good",E170&gt;7,"Good",E170&lt;7,"Avg",E170&lt;6,"Below Avg")</f>
        <v>Best</v>
      </c>
      <c r="I170">
        <v>147</v>
      </c>
      <c r="K170" s="3">
        <v>27439056</v>
      </c>
      <c r="L170" s="3">
        <v>21292704</v>
      </c>
      <c r="M170" s="3">
        <f t="shared" si="10"/>
        <v>6146352</v>
      </c>
      <c r="N170" t="s">
        <v>1858</v>
      </c>
      <c r="O170" t="s">
        <v>1859</v>
      </c>
      <c r="P170" t="s">
        <v>11</v>
      </c>
      <c r="Q170" t="str">
        <f t="shared" si="11"/>
        <v>Kid</v>
      </c>
    </row>
    <row r="171" spans="1:17" x14ac:dyDescent="0.3">
      <c r="A171" t="s">
        <v>1861</v>
      </c>
      <c r="B171">
        <v>2026</v>
      </c>
      <c r="C171" s="5" t="s">
        <v>387</v>
      </c>
      <c r="D171" t="s">
        <v>35</v>
      </c>
      <c r="E171" s="4">
        <v>6.7</v>
      </c>
      <c r="F171" t="str">
        <f t="shared" si="8"/>
        <v>Watch</v>
      </c>
      <c r="G171" t="str">
        <f t="shared" si="9"/>
        <v>Avg</v>
      </c>
      <c r="H171" t="str" cm="1">
        <f t="array" ref="H171">_xlfn.IFS(E171&gt;8,"Best",E171=7,"Good",E171&gt;7,"Good",E171&lt;7,"Avg",E171&lt;6,"Below Avg")</f>
        <v>Avg</v>
      </c>
      <c r="I171">
        <v>145</v>
      </c>
      <c r="K171" s="3">
        <v>29682165</v>
      </c>
      <c r="L171" s="3">
        <v>22788110</v>
      </c>
      <c r="M171" s="3">
        <f t="shared" si="10"/>
        <v>6894055</v>
      </c>
      <c r="O171" t="s">
        <v>1862</v>
      </c>
      <c r="P171" t="s">
        <v>11</v>
      </c>
      <c r="Q171" t="str">
        <f t="shared" si="11"/>
        <v>Kid</v>
      </c>
    </row>
    <row r="172" spans="1:17" x14ac:dyDescent="0.3">
      <c r="A172" t="s">
        <v>1866</v>
      </c>
      <c r="B172">
        <v>2026</v>
      </c>
      <c r="C172" s="5" t="s">
        <v>387</v>
      </c>
      <c r="D172" t="s">
        <v>8</v>
      </c>
      <c r="E172" s="4">
        <v>6</v>
      </c>
      <c r="F172" t="str">
        <f t="shared" si="8"/>
        <v>Don't Watch</v>
      </c>
      <c r="G172" t="str">
        <f t="shared" si="9"/>
        <v>Avg</v>
      </c>
      <c r="H172" t="str" cm="1">
        <f t="array" ref="H172">_xlfn.IFS(E172&gt;8,"Best",E172=7,"Good",E172&gt;7,"Good",E172&lt;7,"Avg",E172&lt;6,"Below Avg")</f>
        <v>Avg</v>
      </c>
      <c r="I172">
        <v>108</v>
      </c>
      <c r="K172" s="3">
        <v>31308669</v>
      </c>
      <c r="L172" s="3">
        <v>23872446</v>
      </c>
      <c r="M172" s="3">
        <f t="shared" si="10"/>
        <v>7436223</v>
      </c>
      <c r="N172" t="s">
        <v>1867</v>
      </c>
      <c r="O172" t="s">
        <v>1868</v>
      </c>
      <c r="P172" t="s">
        <v>11</v>
      </c>
      <c r="Q172" t="str">
        <f t="shared" si="11"/>
        <v>Kid</v>
      </c>
    </row>
    <row r="173" spans="1:17" x14ac:dyDescent="0.3">
      <c r="A173" t="s">
        <v>1869</v>
      </c>
      <c r="B173">
        <v>2026</v>
      </c>
      <c r="C173" s="5" t="s">
        <v>387</v>
      </c>
      <c r="D173" t="s">
        <v>39</v>
      </c>
      <c r="E173" s="4">
        <v>6.7</v>
      </c>
      <c r="F173" t="str">
        <f t="shared" si="8"/>
        <v>Watch</v>
      </c>
      <c r="G173" t="str">
        <f t="shared" si="9"/>
        <v>Avg</v>
      </c>
      <c r="H173" t="str" cm="1">
        <f t="array" ref="H173">_xlfn.IFS(E173&gt;8,"Best",E173=7,"Good",E173&gt;7,"Good",E173&lt;7,"Avg",E173&lt;6,"Below Avg")</f>
        <v>Avg</v>
      </c>
      <c r="I173">
        <v>121</v>
      </c>
      <c r="K173" s="3">
        <v>29352198</v>
      </c>
      <c r="L173" s="3">
        <v>22568132</v>
      </c>
      <c r="M173" s="3">
        <f t="shared" si="10"/>
        <v>6784066</v>
      </c>
      <c r="N173" t="s">
        <v>1870</v>
      </c>
      <c r="O173" t="s">
        <v>1871</v>
      </c>
      <c r="P173" t="s">
        <v>11</v>
      </c>
      <c r="Q173" t="str">
        <f t="shared" si="11"/>
        <v>Kid</v>
      </c>
    </row>
    <row r="174" spans="1:17" x14ac:dyDescent="0.3">
      <c r="A174" t="s">
        <v>1872</v>
      </c>
      <c r="B174">
        <v>2026</v>
      </c>
      <c r="C174" s="5" t="s">
        <v>387</v>
      </c>
      <c r="D174" t="s">
        <v>27</v>
      </c>
      <c r="E174" s="4">
        <v>6</v>
      </c>
      <c r="F174" t="str">
        <f t="shared" si="8"/>
        <v>Don't Watch</v>
      </c>
      <c r="G174" t="str">
        <f t="shared" si="9"/>
        <v>Avg</v>
      </c>
      <c r="H174" t="str" cm="1">
        <f t="array" ref="H174">_xlfn.IFS(E174&gt;8,"Best",E174=7,"Good",E174&gt;7,"Good",E174&lt;7,"Avg",E174&lt;6,"Below Avg")</f>
        <v>Avg</v>
      </c>
      <c r="I174">
        <v>135</v>
      </c>
      <c r="K174" s="3">
        <v>27899010</v>
      </c>
      <c r="L174" s="3">
        <v>21599340</v>
      </c>
      <c r="M174" s="3">
        <f t="shared" si="10"/>
        <v>6299670</v>
      </c>
      <c r="N174" t="s">
        <v>1873</v>
      </c>
      <c r="O174" t="s">
        <v>1874</v>
      </c>
      <c r="P174" t="s">
        <v>11</v>
      </c>
      <c r="Q174" t="str">
        <f t="shared" si="11"/>
        <v>Kid</v>
      </c>
    </row>
    <row r="175" spans="1:17" x14ac:dyDescent="0.3">
      <c r="A175" t="s">
        <v>1875</v>
      </c>
      <c r="B175">
        <v>2026</v>
      </c>
      <c r="C175" s="5" t="s">
        <v>387</v>
      </c>
      <c r="D175" t="s">
        <v>2</v>
      </c>
      <c r="E175" s="4">
        <v>8.9</v>
      </c>
      <c r="F175" t="str">
        <f t="shared" si="8"/>
        <v>Watch</v>
      </c>
      <c r="G175" t="str">
        <f t="shared" si="9"/>
        <v>Best</v>
      </c>
      <c r="H175" t="str" cm="1">
        <f t="array" ref="H175">_xlfn.IFS(E175&gt;8,"Best",E175=7,"Good",E175&gt;7,"Good",E175&lt;7,"Avg",E175&lt;6,"Below Avg")</f>
        <v>Best</v>
      </c>
      <c r="I175">
        <v>134</v>
      </c>
      <c r="K175" s="3">
        <v>39826295</v>
      </c>
      <c r="L175" s="3">
        <v>11293546</v>
      </c>
      <c r="M175" s="3">
        <f t="shared" si="10"/>
        <v>28532749</v>
      </c>
      <c r="N175" t="s">
        <v>1876</v>
      </c>
      <c r="O175" t="s">
        <v>1877</v>
      </c>
      <c r="P175" t="s">
        <v>4</v>
      </c>
      <c r="Q175" t="str">
        <f t="shared" si="11"/>
        <v>Adult</v>
      </c>
    </row>
    <row r="176" spans="1:17" x14ac:dyDescent="0.3">
      <c r="A176" t="s">
        <v>1878</v>
      </c>
      <c r="B176">
        <v>2026</v>
      </c>
      <c r="C176" s="5" t="s">
        <v>387</v>
      </c>
      <c r="D176" t="s">
        <v>23</v>
      </c>
      <c r="E176" s="4">
        <v>6.9</v>
      </c>
      <c r="F176" t="str">
        <f t="shared" si="8"/>
        <v>Watch</v>
      </c>
      <c r="G176" t="str">
        <f t="shared" si="9"/>
        <v>Avg</v>
      </c>
      <c r="H176" t="str" cm="1">
        <f t="array" ref="H176">_xlfn.IFS(E176&gt;8,"Best",E176=7,"Good",E176&gt;7,"Good",E176&lt;7,"Avg",E176&lt;6,"Below Avg")</f>
        <v>Avg</v>
      </c>
      <c r="I176">
        <v>144</v>
      </c>
      <c r="K176" s="3">
        <v>27929007</v>
      </c>
      <c r="L176" s="3">
        <v>21619338</v>
      </c>
      <c r="M176" s="3">
        <f t="shared" si="10"/>
        <v>6309669</v>
      </c>
      <c r="O176" t="s">
        <v>396</v>
      </c>
      <c r="P176" t="s">
        <v>11</v>
      </c>
      <c r="Q176" t="str">
        <f t="shared" si="11"/>
        <v>Kid</v>
      </c>
    </row>
    <row r="177" spans="1:17" x14ac:dyDescent="0.3">
      <c r="A177" t="s">
        <v>1879</v>
      </c>
      <c r="B177">
        <v>2026</v>
      </c>
      <c r="C177" s="5" t="s">
        <v>387</v>
      </c>
      <c r="D177" t="s">
        <v>27</v>
      </c>
      <c r="E177" s="4">
        <v>6.3</v>
      </c>
      <c r="F177" t="str">
        <f t="shared" si="8"/>
        <v>Don't Watch</v>
      </c>
      <c r="G177" t="str">
        <f t="shared" si="9"/>
        <v>Avg</v>
      </c>
      <c r="H177" t="str" cm="1">
        <f t="array" ref="H177">_xlfn.IFS(E177&gt;8,"Best",E177=7,"Good",E177&gt;7,"Good",E177&lt;7,"Avg",E177&lt;6,"Below Avg")</f>
        <v>Avg</v>
      </c>
      <c r="I177">
        <v>144</v>
      </c>
      <c r="K177" s="3">
        <v>28678932</v>
      </c>
      <c r="L177" s="3">
        <v>22119288</v>
      </c>
      <c r="M177" s="3">
        <f t="shared" si="10"/>
        <v>6559644</v>
      </c>
      <c r="O177" t="s">
        <v>1880</v>
      </c>
      <c r="P177" t="s">
        <v>11</v>
      </c>
      <c r="Q177" t="str">
        <f t="shared" si="11"/>
        <v>Kid</v>
      </c>
    </row>
    <row r="178" spans="1:17" x14ac:dyDescent="0.3">
      <c r="A178" t="s">
        <v>1881</v>
      </c>
      <c r="B178">
        <v>2026</v>
      </c>
      <c r="C178" s="5" t="s">
        <v>387</v>
      </c>
      <c r="D178" t="s">
        <v>127</v>
      </c>
      <c r="E178" s="4">
        <v>7.6</v>
      </c>
      <c r="F178" t="str">
        <f t="shared" si="8"/>
        <v>Watch</v>
      </c>
      <c r="G178" t="str">
        <f t="shared" si="9"/>
        <v>Good</v>
      </c>
      <c r="H178" t="str" cm="1">
        <f t="array" ref="H178">_xlfn.IFS(E178&gt;8,"Best",E178=7,"Good",E178&gt;7,"Good",E178&lt;7,"Avg",E178&lt;6,"Below Avg")</f>
        <v>Good</v>
      </c>
      <c r="I178">
        <v>145</v>
      </c>
      <c r="K178" s="3">
        <v>29932140</v>
      </c>
      <c r="L178" s="3">
        <v>22954760</v>
      </c>
      <c r="M178" s="3">
        <f t="shared" si="10"/>
        <v>6977380</v>
      </c>
      <c r="N178" t="s">
        <v>1882</v>
      </c>
      <c r="O178" t="s">
        <v>1883</v>
      </c>
      <c r="P178" t="s">
        <v>11</v>
      </c>
      <c r="Q178" t="str">
        <f t="shared" si="11"/>
        <v>Kid</v>
      </c>
    </row>
    <row r="179" spans="1:17" x14ac:dyDescent="0.3">
      <c r="A179" t="s">
        <v>1884</v>
      </c>
      <c r="B179">
        <v>2026</v>
      </c>
      <c r="C179" s="5" t="s">
        <v>387</v>
      </c>
      <c r="D179" t="s">
        <v>8</v>
      </c>
      <c r="E179" s="4">
        <v>8.9</v>
      </c>
      <c r="F179" t="str">
        <f t="shared" si="8"/>
        <v>Watch</v>
      </c>
      <c r="G179" t="str">
        <f t="shared" si="9"/>
        <v>Best</v>
      </c>
      <c r="H179" t="str" cm="1">
        <f t="array" ref="H179">_xlfn.IFS(E179&gt;8,"Best",E179=7,"Good",E179&gt;7,"Good",E179&lt;7,"Avg",E179&lt;6,"Below Avg")</f>
        <v>Best</v>
      </c>
      <c r="I179">
        <v>161</v>
      </c>
      <c r="K179" s="3">
        <v>28985568</v>
      </c>
      <c r="L179" s="3">
        <v>22323712</v>
      </c>
      <c r="M179" s="3">
        <f t="shared" si="10"/>
        <v>6661856</v>
      </c>
      <c r="O179" t="s">
        <v>497</v>
      </c>
      <c r="P179" t="s">
        <v>11</v>
      </c>
      <c r="Q179" t="str">
        <f t="shared" si="11"/>
        <v>Kid</v>
      </c>
    </row>
    <row r="180" spans="1:17" x14ac:dyDescent="0.3">
      <c r="A180" t="s">
        <v>1885</v>
      </c>
      <c r="B180">
        <v>2026</v>
      </c>
      <c r="C180" s="5" t="s">
        <v>387</v>
      </c>
      <c r="D180" t="s">
        <v>85</v>
      </c>
      <c r="E180" s="4">
        <v>9</v>
      </c>
      <c r="F180" t="str">
        <f t="shared" si="8"/>
        <v>Watch</v>
      </c>
      <c r="G180" t="str">
        <f t="shared" si="9"/>
        <v>Best</v>
      </c>
      <c r="H180" t="str" cm="1">
        <f t="array" ref="H180">_xlfn.IFS(E180&gt;8,"Best",E180=7,"Good",E180&gt;7,"Good",E180&lt;7,"Avg",E180&lt;6,"Below Avg")</f>
        <v>Best</v>
      </c>
      <c r="I180">
        <v>144</v>
      </c>
      <c r="K180" s="3">
        <v>39465220</v>
      </c>
      <c r="L180" s="3">
        <v>11213336</v>
      </c>
      <c r="M180" s="3">
        <f t="shared" si="10"/>
        <v>28251884</v>
      </c>
      <c r="O180" t="s">
        <v>1886</v>
      </c>
      <c r="P180" t="s">
        <v>4</v>
      </c>
      <c r="Q180" t="str">
        <f t="shared" si="11"/>
        <v>Adult</v>
      </c>
    </row>
    <row r="181" spans="1:17" x14ac:dyDescent="0.3">
      <c r="A181" t="s">
        <v>1887</v>
      </c>
      <c r="B181">
        <v>2026</v>
      </c>
      <c r="C181" s="5" t="s">
        <v>387</v>
      </c>
      <c r="D181" t="s">
        <v>31</v>
      </c>
      <c r="E181" s="4">
        <v>6.3</v>
      </c>
      <c r="F181" t="str">
        <f t="shared" si="8"/>
        <v>Don't Watch</v>
      </c>
      <c r="G181" t="str">
        <f t="shared" si="9"/>
        <v>Avg</v>
      </c>
      <c r="H181" t="str" cm="1">
        <f t="array" ref="H181">_xlfn.IFS(E181&gt;8,"Best",E181=7,"Good",E181&gt;7,"Good",E181&lt;7,"Avg",E181&lt;6,"Below Avg")</f>
        <v>Avg</v>
      </c>
      <c r="I181">
        <v>129</v>
      </c>
      <c r="K181" s="3">
        <v>28128987</v>
      </c>
      <c r="L181" s="3">
        <v>21752658</v>
      </c>
      <c r="M181" s="3">
        <f t="shared" si="10"/>
        <v>6376329</v>
      </c>
      <c r="N181" t="s">
        <v>1888</v>
      </c>
      <c r="O181" t="s">
        <v>1889</v>
      </c>
      <c r="P181" t="s">
        <v>11</v>
      </c>
      <c r="Q181" t="str">
        <f t="shared" si="11"/>
        <v>Kid</v>
      </c>
    </row>
    <row r="182" spans="1:17" x14ac:dyDescent="0.3">
      <c r="A182" t="s">
        <v>1890</v>
      </c>
      <c r="B182">
        <v>2026</v>
      </c>
      <c r="C182" s="5" t="s">
        <v>387</v>
      </c>
      <c r="D182" t="s">
        <v>85</v>
      </c>
      <c r="E182" s="4">
        <v>8.8000000000000007</v>
      </c>
      <c r="F182" t="str">
        <f t="shared" si="8"/>
        <v>Watch</v>
      </c>
      <c r="G182" t="str">
        <f t="shared" si="9"/>
        <v>Best</v>
      </c>
      <c r="H182" t="str" cm="1">
        <f t="array" ref="H182">_xlfn.IFS(E182&gt;8,"Best",E182=7,"Good",E182&gt;7,"Good",E182&lt;7,"Avg",E182&lt;6,"Below Avg")</f>
        <v>Best</v>
      </c>
      <c r="I182">
        <v>124</v>
      </c>
      <c r="K182" s="3">
        <v>40187370</v>
      </c>
      <c r="L182" s="3">
        <v>11373756</v>
      </c>
      <c r="M182" s="3">
        <f t="shared" si="10"/>
        <v>28813614</v>
      </c>
      <c r="O182" t="s">
        <v>1891</v>
      </c>
      <c r="P182" t="s">
        <v>4</v>
      </c>
      <c r="Q182" t="str">
        <f t="shared" si="11"/>
        <v>Adult</v>
      </c>
    </row>
    <row r="183" spans="1:17" x14ac:dyDescent="0.3">
      <c r="A183" t="s">
        <v>1617</v>
      </c>
      <c r="B183">
        <v>2026</v>
      </c>
      <c r="C183" s="5" t="s">
        <v>163</v>
      </c>
      <c r="D183" t="s">
        <v>8</v>
      </c>
      <c r="E183" s="4">
        <v>8.6999999999999993</v>
      </c>
      <c r="F183" t="str">
        <f t="shared" si="8"/>
        <v>Watch</v>
      </c>
      <c r="G183" t="str">
        <f t="shared" si="9"/>
        <v>Best</v>
      </c>
      <c r="H183" t="str" cm="1">
        <f t="array" ref="H183">_xlfn.IFS(E183&gt;8,"Best",E183=7,"Good",E183&gt;7,"Good",E183&lt;7,"Avg",E183&lt;6,"Below Avg")</f>
        <v>Best</v>
      </c>
      <c r="I183">
        <v>129</v>
      </c>
      <c r="K183" s="3">
        <v>27879012</v>
      </c>
      <c r="L183" s="3">
        <v>21586008</v>
      </c>
      <c r="M183" s="3">
        <f t="shared" si="10"/>
        <v>6293004</v>
      </c>
      <c r="N183" t="s">
        <v>1618</v>
      </c>
      <c r="O183" t="s">
        <v>453</v>
      </c>
      <c r="P183" t="s">
        <v>11</v>
      </c>
      <c r="Q183" t="str">
        <f t="shared" si="11"/>
        <v>Kid</v>
      </c>
    </row>
    <row r="184" spans="1:17" x14ac:dyDescent="0.3">
      <c r="A184" t="s">
        <v>1619</v>
      </c>
      <c r="B184">
        <v>2026</v>
      </c>
      <c r="C184" s="5" t="s">
        <v>163</v>
      </c>
      <c r="D184" t="s">
        <v>93</v>
      </c>
      <c r="E184" s="4">
        <v>8.4</v>
      </c>
      <c r="F184" t="str">
        <f t="shared" si="8"/>
        <v>Watch</v>
      </c>
      <c r="G184" t="str">
        <f t="shared" si="9"/>
        <v>Good</v>
      </c>
      <c r="H184" t="str" cm="1">
        <f t="array" ref="H184">_xlfn.IFS(E184&gt;8,"Best",E184=7,"Good",E184&gt;7,"Good",E184&lt;7,"Avg",E184&lt;6,"Below Avg")</f>
        <v>Best</v>
      </c>
      <c r="I184">
        <v>153</v>
      </c>
      <c r="K184" s="3">
        <v>27209079</v>
      </c>
      <c r="L184" s="3">
        <v>21139386</v>
      </c>
      <c r="M184" s="3">
        <f t="shared" si="10"/>
        <v>6069693</v>
      </c>
      <c r="N184" t="s">
        <v>1620</v>
      </c>
      <c r="O184" t="s">
        <v>402</v>
      </c>
      <c r="P184" t="s">
        <v>11</v>
      </c>
      <c r="Q184" t="str">
        <f t="shared" si="11"/>
        <v>Kid</v>
      </c>
    </row>
    <row r="185" spans="1:17" x14ac:dyDescent="0.3">
      <c r="A185" t="s">
        <v>1632</v>
      </c>
      <c r="B185">
        <v>2026</v>
      </c>
      <c r="C185" s="5" t="s">
        <v>163</v>
      </c>
      <c r="D185" t="s">
        <v>8</v>
      </c>
      <c r="E185" s="4">
        <v>8.8000000000000007</v>
      </c>
      <c r="F185" t="str">
        <f t="shared" si="8"/>
        <v>Watch</v>
      </c>
      <c r="G185" t="str">
        <f t="shared" si="9"/>
        <v>Best</v>
      </c>
      <c r="H185" t="str" cm="1">
        <f t="array" ref="H185">_xlfn.IFS(E185&gt;8,"Best",E185=7,"Good",E185&gt;7,"Good",E185&lt;7,"Avg",E185&lt;6,"Below Avg")</f>
        <v>Best</v>
      </c>
      <c r="I185">
        <v>91</v>
      </c>
      <c r="K185" s="3">
        <v>29752158</v>
      </c>
      <c r="L185" s="3">
        <v>22834772</v>
      </c>
      <c r="M185" s="3">
        <f t="shared" si="10"/>
        <v>6917386</v>
      </c>
      <c r="N185" t="s">
        <v>1633</v>
      </c>
      <c r="O185" t="s">
        <v>1634</v>
      </c>
      <c r="P185" t="s">
        <v>11</v>
      </c>
      <c r="Q185" t="str">
        <f t="shared" si="11"/>
        <v>Kid</v>
      </c>
    </row>
    <row r="186" spans="1:17" x14ac:dyDescent="0.3">
      <c r="A186" t="s">
        <v>1636</v>
      </c>
      <c r="B186">
        <v>2026</v>
      </c>
      <c r="C186" s="5" t="s">
        <v>163</v>
      </c>
      <c r="D186" t="s">
        <v>39</v>
      </c>
      <c r="E186" s="4">
        <v>9.1999999999999993</v>
      </c>
      <c r="F186" t="str">
        <f t="shared" si="8"/>
        <v>Watch</v>
      </c>
      <c r="G186" t="str">
        <f t="shared" si="9"/>
        <v>Best</v>
      </c>
      <c r="H186" t="str" cm="1">
        <f t="array" ref="H186">_xlfn.IFS(E186&gt;8,"Best",E186=7,"Good",E186&gt;7,"Good",E186&lt;7,"Avg",E186&lt;6,"Below Avg")</f>
        <v>Best</v>
      </c>
      <c r="I186">
        <v>134</v>
      </c>
      <c r="K186" s="3">
        <v>27895677</v>
      </c>
      <c r="L186" s="3">
        <v>21597118</v>
      </c>
      <c r="M186" s="3">
        <f t="shared" si="10"/>
        <v>6298559</v>
      </c>
      <c r="N186" t="s">
        <v>1637</v>
      </c>
      <c r="O186" t="s">
        <v>14</v>
      </c>
      <c r="P186" t="s">
        <v>11</v>
      </c>
      <c r="Q186" t="str">
        <f t="shared" si="11"/>
        <v>Kid</v>
      </c>
    </row>
    <row r="187" spans="1:17" x14ac:dyDescent="0.3">
      <c r="A187" t="s">
        <v>1638</v>
      </c>
      <c r="B187">
        <v>2026</v>
      </c>
      <c r="C187" s="5" t="s">
        <v>163</v>
      </c>
      <c r="D187" t="s">
        <v>49</v>
      </c>
      <c r="E187" s="4">
        <v>7</v>
      </c>
      <c r="F187" t="str">
        <f t="shared" si="8"/>
        <v>Watch</v>
      </c>
      <c r="G187" t="str">
        <f t="shared" si="9"/>
        <v>Avg</v>
      </c>
      <c r="H187" t="str" cm="1">
        <f t="array" ref="H187">_xlfn.IFS(E187&gt;8,"Best",E187=7,"Good",E187&gt;7,"Good",E187&lt;7,"Avg",E187&lt;6,"Below Avg")</f>
        <v>Good</v>
      </c>
      <c r="I187">
        <v>142</v>
      </c>
      <c r="K187" s="3">
        <v>28922241</v>
      </c>
      <c r="L187" s="3">
        <v>22281494</v>
      </c>
      <c r="M187" s="3">
        <f t="shared" si="10"/>
        <v>6640747</v>
      </c>
      <c r="O187" t="s">
        <v>1639</v>
      </c>
      <c r="P187" t="s">
        <v>11</v>
      </c>
      <c r="Q187" t="str">
        <f t="shared" si="11"/>
        <v>Kid</v>
      </c>
    </row>
    <row r="188" spans="1:17" x14ac:dyDescent="0.3">
      <c r="A188" t="s">
        <v>1640</v>
      </c>
      <c r="B188">
        <v>2026</v>
      </c>
      <c r="C188" s="5" t="s">
        <v>163</v>
      </c>
      <c r="D188" t="s">
        <v>8</v>
      </c>
      <c r="E188" s="4">
        <v>7.1</v>
      </c>
      <c r="F188" t="str">
        <f t="shared" si="8"/>
        <v>Watch</v>
      </c>
      <c r="G188" t="str">
        <f t="shared" si="9"/>
        <v>Good</v>
      </c>
      <c r="H188" t="str" cm="1">
        <f t="array" ref="H188">_xlfn.IFS(E188&gt;8,"Best",E188=7,"Good",E188&gt;7,"Good",E188&lt;7,"Avg",E188&lt;6,"Below Avg")</f>
        <v>Good</v>
      </c>
      <c r="I188">
        <v>98</v>
      </c>
      <c r="K188" s="3">
        <v>30025464</v>
      </c>
      <c r="L188" s="3">
        <v>23016976</v>
      </c>
      <c r="M188" s="3">
        <f t="shared" si="10"/>
        <v>7008488</v>
      </c>
      <c r="N188" t="s">
        <v>1641</v>
      </c>
      <c r="O188" t="s">
        <v>1642</v>
      </c>
      <c r="P188" t="s">
        <v>11</v>
      </c>
      <c r="Q188" t="str">
        <f t="shared" si="11"/>
        <v>Kid</v>
      </c>
    </row>
    <row r="189" spans="1:17" x14ac:dyDescent="0.3">
      <c r="A189" t="s">
        <v>1664</v>
      </c>
      <c r="B189">
        <v>2026</v>
      </c>
      <c r="C189" s="5" t="s">
        <v>163</v>
      </c>
      <c r="D189" t="s">
        <v>39</v>
      </c>
      <c r="E189" s="4">
        <v>9</v>
      </c>
      <c r="F189" t="str">
        <f t="shared" si="8"/>
        <v>Watch</v>
      </c>
      <c r="G189" t="str">
        <f t="shared" si="9"/>
        <v>Best</v>
      </c>
      <c r="H189" t="str" cm="1">
        <f t="array" ref="H189">_xlfn.IFS(E189&gt;8,"Best",E189=7,"Good",E189&gt;7,"Good",E189&lt;7,"Avg",E189&lt;6,"Below Avg")</f>
        <v>Best</v>
      </c>
      <c r="I189">
        <v>153</v>
      </c>
      <c r="K189" s="3">
        <v>29208879</v>
      </c>
      <c r="L189" s="3">
        <v>22472586</v>
      </c>
      <c r="M189" s="3">
        <f t="shared" si="10"/>
        <v>6736293</v>
      </c>
      <c r="N189" t="s">
        <v>1665</v>
      </c>
      <c r="O189" t="s">
        <v>1666</v>
      </c>
      <c r="P189" t="s">
        <v>11</v>
      </c>
      <c r="Q189" t="str">
        <f t="shared" si="11"/>
        <v>Kid</v>
      </c>
    </row>
    <row r="190" spans="1:17" x14ac:dyDescent="0.3">
      <c r="A190" t="s">
        <v>1667</v>
      </c>
      <c r="B190">
        <v>2026</v>
      </c>
      <c r="C190" s="5" t="s">
        <v>163</v>
      </c>
      <c r="D190" t="s">
        <v>39</v>
      </c>
      <c r="E190" s="4">
        <v>6.8</v>
      </c>
      <c r="F190" t="str">
        <f t="shared" si="8"/>
        <v>Watch</v>
      </c>
      <c r="G190" t="str">
        <f t="shared" si="9"/>
        <v>Avg</v>
      </c>
      <c r="H190" t="str" cm="1">
        <f t="array" ref="H190">_xlfn.IFS(E190&gt;8,"Best",E190=7,"Good",E190&gt;7,"Good",E190&lt;7,"Avg",E190&lt;6,"Below Avg")</f>
        <v>Avg</v>
      </c>
      <c r="I190">
        <v>98</v>
      </c>
      <c r="K190" s="3">
        <v>29025564</v>
      </c>
      <c r="L190" s="3">
        <v>22350376</v>
      </c>
      <c r="M190" s="3">
        <f t="shared" si="10"/>
        <v>6675188</v>
      </c>
      <c r="N190" t="s">
        <v>1668</v>
      </c>
      <c r="O190" t="s">
        <v>1669</v>
      </c>
      <c r="P190" t="s">
        <v>11</v>
      </c>
      <c r="Q190" t="str">
        <f t="shared" si="11"/>
        <v>Kid</v>
      </c>
    </row>
    <row r="191" spans="1:17" x14ac:dyDescent="0.3">
      <c r="A191" t="s">
        <v>1670</v>
      </c>
      <c r="B191">
        <v>2026</v>
      </c>
      <c r="C191" s="5" t="s">
        <v>163</v>
      </c>
      <c r="D191" t="s">
        <v>27</v>
      </c>
      <c r="E191" s="4">
        <v>8.3000000000000007</v>
      </c>
      <c r="F191" t="str">
        <f t="shared" si="8"/>
        <v>Watch</v>
      </c>
      <c r="G191" t="str">
        <f t="shared" si="9"/>
        <v>Good</v>
      </c>
      <c r="H191" t="str" cm="1">
        <f t="array" ref="H191">_xlfn.IFS(E191&gt;8,"Best",E191=7,"Good",E191&gt;7,"Good",E191&lt;7,"Avg",E191&lt;6,"Below Avg")</f>
        <v>Best</v>
      </c>
      <c r="I191">
        <v>143</v>
      </c>
      <c r="K191" s="3">
        <v>30175449</v>
      </c>
      <c r="L191" s="3">
        <v>23116966</v>
      </c>
      <c r="M191" s="3">
        <f t="shared" si="10"/>
        <v>7058483</v>
      </c>
      <c r="O191" t="s">
        <v>1671</v>
      </c>
      <c r="P191" t="s">
        <v>11</v>
      </c>
      <c r="Q191" t="str">
        <f t="shared" si="11"/>
        <v>Kid</v>
      </c>
    </row>
    <row r="192" spans="1:17" x14ac:dyDescent="0.3">
      <c r="A192" t="s">
        <v>1621</v>
      </c>
      <c r="B192">
        <v>2026</v>
      </c>
      <c r="C192" s="5" t="s">
        <v>163</v>
      </c>
      <c r="D192" t="s">
        <v>27</v>
      </c>
      <c r="E192" s="4">
        <v>7.3</v>
      </c>
      <c r="F192" t="str">
        <f t="shared" si="8"/>
        <v>Watch</v>
      </c>
      <c r="G192" t="str">
        <f t="shared" si="9"/>
        <v>Good</v>
      </c>
      <c r="H192" t="str" cm="1">
        <f t="array" ref="H192">_xlfn.IFS(E192&gt;8,"Best",E192=7,"Good",E192&gt;7,"Good",E192&lt;7,"Avg",E192&lt;6,"Below Avg")</f>
        <v>Good</v>
      </c>
      <c r="I192">
        <v>139</v>
      </c>
      <c r="K192" s="3">
        <v>28162317</v>
      </c>
      <c r="L192" s="3">
        <v>21774878</v>
      </c>
      <c r="M192" s="3">
        <f t="shared" si="10"/>
        <v>6387439</v>
      </c>
      <c r="O192" t="s">
        <v>1622</v>
      </c>
      <c r="P192" t="s">
        <v>11</v>
      </c>
      <c r="Q192" t="str">
        <f t="shared" si="11"/>
        <v>Kid</v>
      </c>
    </row>
    <row r="193" spans="1:17" x14ac:dyDescent="0.3">
      <c r="A193" t="s">
        <v>1623</v>
      </c>
      <c r="B193">
        <v>2026</v>
      </c>
      <c r="C193" s="5" t="s">
        <v>163</v>
      </c>
      <c r="D193" t="s">
        <v>8</v>
      </c>
      <c r="E193" s="4">
        <v>7.5</v>
      </c>
      <c r="F193" t="str">
        <f t="shared" si="8"/>
        <v>Watch</v>
      </c>
      <c r="G193" t="str">
        <f t="shared" si="9"/>
        <v>Good</v>
      </c>
      <c r="H193" t="str" cm="1">
        <f t="array" ref="H193">_xlfn.IFS(E193&gt;8,"Best",E193=7,"Good",E193&gt;7,"Good",E193&lt;7,"Avg",E193&lt;6,"Below Avg")</f>
        <v>Good</v>
      </c>
      <c r="I193">
        <v>99</v>
      </c>
      <c r="K193" s="3">
        <v>28278972</v>
      </c>
      <c r="L193" s="3">
        <v>21852648</v>
      </c>
      <c r="M193" s="3">
        <f t="shared" si="10"/>
        <v>6426324</v>
      </c>
      <c r="N193" t="s">
        <v>1624</v>
      </c>
      <c r="O193" t="s">
        <v>1625</v>
      </c>
      <c r="P193" t="s">
        <v>11</v>
      </c>
      <c r="Q193" t="str">
        <f t="shared" si="11"/>
        <v>Kid</v>
      </c>
    </row>
    <row r="194" spans="1:17" x14ac:dyDescent="0.3">
      <c r="A194" t="s">
        <v>1626</v>
      </c>
      <c r="B194">
        <v>2026</v>
      </c>
      <c r="C194" s="5" t="s">
        <v>163</v>
      </c>
      <c r="D194" t="s">
        <v>65</v>
      </c>
      <c r="E194" s="4">
        <v>7.8</v>
      </c>
      <c r="F194" t="str">
        <f t="shared" ref="F194:F257" si="12">IF(E194&gt;6.5,"Watch","Don't Watch")</f>
        <v>Watch</v>
      </c>
      <c r="G194" t="str">
        <f t="shared" ref="G194:G257" si="13">IF(E194&gt;8.5,"Best",IF(E194&gt;7,"Good",IF(E194&gt;5,"Avg",IF(E194&lt;5,"Below Avg",IF(E194&lt;3,"Bad",)))))</f>
        <v>Good</v>
      </c>
      <c r="H194" t="str" cm="1">
        <f t="array" ref="H194">_xlfn.IFS(E194&gt;8,"Best",E194=7,"Good",E194&gt;7,"Good",E194&lt;7,"Avg",E194&lt;6,"Below Avg")</f>
        <v>Good</v>
      </c>
      <c r="I194">
        <v>153</v>
      </c>
      <c r="K194" s="3">
        <v>27959004</v>
      </c>
      <c r="L194" s="3">
        <v>21639336</v>
      </c>
      <c r="M194" s="3">
        <f t="shared" ref="M194:M257" si="14" xml:space="preserve"> (K194-L194)</f>
        <v>6319668</v>
      </c>
      <c r="N194" t="s">
        <v>1627</v>
      </c>
      <c r="O194" t="s">
        <v>1100</v>
      </c>
      <c r="P194" t="s">
        <v>11</v>
      </c>
      <c r="Q194" t="str">
        <f t="shared" ref="Q194:Q257" si="15">IF(P194="R","Adult","Kid")</f>
        <v>Kid</v>
      </c>
    </row>
    <row r="195" spans="1:17" x14ac:dyDescent="0.3">
      <c r="A195" t="s">
        <v>1628</v>
      </c>
      <c r="B195">
        <v>2026</v>
      </c>
      <c r="C195" s="5" t="s">
        <v>163</v>
      </c>
      <c r="D195" t="s">
        <v>2</v>
      </c>
      <c r="E195" s="4">
        <v>6.1</v>
      </c>
      <c r="F195" t="str">
        <f t="shared" si="12"/>
        <v>Don't Watch</v>
      </c>
      <c r="G195" t="str">
        <f t="shared" si="13"/>
        <v>Avg</v>
      </c>
      <c r="H195" t="str" cm="1">
        <f t="array" ref="H195">_xlfn.IFS(E195&gt;8,"Best",E195=7,"Good",E195&gt;7,"Good",E195&lt;7,"Avg",E195&lt;6,"Below Avg")</f>
        <v>Avg</v>
      </c>
      <c r="I195">
        <v>157</v>
      </c>
      <c r="K195" s="3">
        <v>39120810</v>
      </c>
      <c r="L195" s="3">
        <v>11136828</v>
      </c>
      <c r="M195" s="3">
        <f t="shared" si="14"/>
        <v>27983982</v>
      </c>
      <c r="O195" t="s">
        <v>1352</v>
      </c>
      <c r="P195" t="s">
        <v>4</v>
      </c>
      <c r="Q195" t="str">
        <f t="shared" si="15"/>
        <v>Adult</v>
      </c>
    </row>
    <row r="196" spans="1:17" x14ac:dyDescent="0.3">
      <c r="A196" t="s">
        <v>1629</v>
      </c>
      <c r="B196">
        <v>2026</v>
      </c>
      <c r="C196" s="5" t="s">
        <v>163</v>
      </c>
      <c r="D196" t="s">
        <v>85</v>
      </c>
      <c r="E196" s="4">
        <v>6.2</v>
      </c>
      <c r="F196" t="str">
        <f t="shared" si="12"/>
        <v>Don't Watch</v>
      </c>
      <c r="G196" t="str">
        <f t="shared" si="13"/>
        <v>Avg</v>
      </c>
      <c r="H196" t="str" cm="1">
        <f t="array" ref="H196">_xlfn.IFS(E196&gt;8,"Best",E196=7,"Good",E196&gt;7,"Good",E196&lt;7,"Avg",E196&lt;6,"Below Avg")</f>
        <v>Avg</v>
      </c>
      <c r="I196">
        <v>119</v>
      </c>
      <c r="K196" s="3">
        <v>42242720</v>
      </c>
      <c r="L196" s="3">
        <v>11830336</v>
      </c>
      <c r="M196" s="3">
        <f t="shared" si="14"/>
        <v>30412384</v>
      </c>
      <c r="N196" t="s">
        <v>1630</v>
      </c>
      <c r="O196" t="s">
        <v>1631</v>
      </c>
      <c r="P196" t="s">
        <v>4</v>
      </c>
      <c r="Q196" t="str">
        <f t="shared" si="15"/>
        <v>Adult</v>
      </c>
    </row>
    <row r="197" spans="1:17" x14ac:dyDescent="0.3">
      <c r="A197" t="s">
        <v>1635</v>
      </c>
      <c r="B197">
        <v>2026</v>
      </c>
      <c r="C197" s="5" t="s">
        <v>163</v>
      </c>
      <c r="D197" t="s">
        <v>2</v>
      </c>
      <c r="E197" s="4">
        <v>8.3000000000000007</v>
      </c>
      <c r="F197" t="str">
        <f t="shared" si="12"/>
        <v>Watch</v>
      </c>
      <c r="G197" t="str">
        <f t="shared" si="13"/>
        <v>Good</v>
      </c>
      <c r="H197" t="str" cm="1">
        <f t="array" ref="H197">_xlfn.IFS(E197&gt;8,"Best",E197=7,"Good",E197&gt;7,"Good",E197&lt;7,"Avg",E197&lt;6,"Below Avg")</f>
        <v>Best</v>
      </c>
      <c r="I197">
        <v>119</v>
      </c>
      <c r="K197" s="3">
        <v>40159595</v>
      </c>
      <c r="L197" s="3">
        <v>11367586</v>
      </c>
      <c r="M197" s="3">
        <f t="shared" si="14"/>
        <v>28792009</v>
      </c>
      <c r="O197" t="s">
        <v>889</v>
      </c>
      <c r="P197" t="s">
        <v>4</v>
      </c>
      <c r="Q197" t="str">
        <f t="shared" si="15"/>
        <v>Adult</v>
      </c>
    </row>
    <row r="198" spans="1:17" x14ac:dyDescent="0.3">
      <c r="A198" t="s">
        <v>1643</v>
      </c>
      <c r="B198">
        <v>2026</v>
      </c>
      <c r="C198" s="5" t="s">
        <v>163</v>
      </c>
      <c r="D198" t="s">
        <v>8</v>
      </c>
      <c r="E198" s="4">
        <v>7.5</v>
      </c>
      <c r="F198" t="str">
        <f t="shared" si="12"/>
        <v>Watch</v>
      </c>
      <c r="G198" t="str">
        <f t="shared" si="13"/>
        <v>Good</v>
      </c>
      <c r="H198" t="str" cm="1">
        <f t="array" ref="H198">_xlfn.IFS(E198&gt;8,"Best",E198=7,"Good",E198&gt;7,"Good",E198&lt;7,"Avg",E198&lt;6,"Below Avg")</f>
        <v>Good</v>
      </c>
      <c r="I198">
        <v>96</v>
      </c>
      <c r="K198" s="3">
        <v>32018598</v>
      </c>
      <c r="L198" s="3">
        <v>24345732</v>
      </c>
      <c r="M198" s="3">
        <f t="shared" si="14"/>
        <v>7672866</v>
      </c>
      <c r="N198" t="s">
        <v>276</v>
      </c>
      <c r="O198" t="s">
        <v>1644</v>
      </c>
      <c r="P198" t="s">
        <v>11</v>
      </c>
      <c r="Q198" t="str">
        <f t="shared" si="15"/>
        <v>Kid</v>
      </c>
    </row>
    <row r="199" spans="1:17" x14ac:dyDescent="0.3">
      <c r="A199" t="s">
        <v>1645</v>
      </c>
      <c r="B199">
        <v>2026</v>
      </c>
      <c r="C199" s="5" t="s">
        <v>163</v>
      </c>
      <c r="D199" t="s">
        <v>8</v>
      </c>
      <c r="E199" s="4">
        <v>7.5</v>
      </c>
      <c r="F199" t="str">
        <f t="shared" si="12"/>
        <v>Watch</v>
      </c>
      <c r="G199" t="str">
        <f t="shared" si="13"/>
        <v>Good</v>
      </c>
      <c r="H199" t="str" cm="1">
        <f t="array" ref="H199">_xlfn.IFS(E199&gt;8,"Best",E199=7,"Good",E199&gt;7,"Good",E199&lt;7,"Avg",E199&lt;6,"Below Avg")</f>
        <v>Good</v>
      </c>
      <c r="I199">
        <v>99</v>
      </c>
      <c r="K199" s="3">
        <v>28278972</v>
      </c>
      <c r="L199" s="3">
        <v>21852648</v>
      </c>
      <c r="M199" s="3">
        <f t="shared" si="14"/>
        <v>6426324</v>
      </c>
      <c r="N199" t="s">
        <v>1646</v>
      </c>
      <c r="O199" t="s">
        <v>1647</v>
      </c>
      <c r="P199" t="s">
        <v>11</v>
      </c>
      <c r="Q199" t="str">
        <f t="shared" si="15"/>
        <v>Kid</v>
      </c>
    </row>
    <row r="200" spans="1:17" x14ac:dyDescent="0.3">
      <c r="A200" t="s">
        <v>1648</v>
      </c>
      <c r="B200">
        <v>2026</v>
      </c>
      <c r="C200" s="5" t="s">
        <v>163</v>
      </c>
      <c r="D200" t="s">
        <v>39</v>
      </c>
      <c r="E200" s="4">
        <v>6.3</v>
      </c>
      <c r="F200" t="str">
        <f t="shared" si="12"/>
        <v>Don't Watch</v>
      </c>
      <c r="G200" t="str">
        <f t="shared" si="13"/>
        <v>Avg</v>
      </c>
      <c r="H200" t="str" cm="1">
        <f t="array" ref="H200">_xlfn.IFS(E200&gt;8,"Best",E200=7,"Good",E200&gt;7,"Good",E200&lt;7,"Avg",E200&lt;6,"Below Avg")</f>
        <v>Avg</v>
      </c>
      <c r="I200">
        <v>156</v>
      </c>
      <c r="K200" s="3">
        <v>30218778</v>
      </c>
      <c r="L200" s="3">
        <v>23145852</v>
      </c>
      <c r="M200" s="3">
        <f t="shared" si="14"/>
        <v>7072926</v>
      </c>
      <c r="N200" t="s">
        <v>1649</v>
      </c>
      <c r="O200" t="s">
        <v>1650</v>
      </c>
      <c r="P200" t="s">
        <v>11</v>
      </c>
      <c r="Q200" t="str">
        <f t="shared" si="15"/>
        <v>Kid</v>
      </c>
    </row>
    <row r="201" spans="1:17" x14ac:dyDescent="0.3">
      <c r="A201" t="s">
        <v>1651</v>
      </c>
      <c r="B201">
        <v>2026</v>
      </c>
      <c r="C201" s="5" t="s">
        <v>163</v>
      </c>
      <c r="D201" t="s">
        <v>8</v>
      </c>
      <c r="E201" s="4">
        <v>9.1999999999999993</v>
      </c>
      <c r="F201" t="str">
        <f t="shared" si="12"/>
        <v>Watch</v>
      </c>
      <c r="G201" t="str">
        <f t="shared" si="13"/>
        <v>Best</v>
      </c>
      <c r="H201" t="str" cm="1">
        <f t="array" ref="H201">_xlfn.IFS(E201&gt;8,"Best",E201=7,"Good",E201&gt;7,"Good",E201&lt;7,"Avg",E201&lt;6,"Below Avg")</f>
        <v>Best</v>
      </c>
      <c r="I201">
        <v>155</v>
      </c>
      <c r="K201" s="3">
        <v>26465820</v>
      </c>
      <c r="L201" s="3">
        <v>20643880</v>
      </c>
      <c r="M201" s="3">
        <f t="shared" si="14"/>
        <v>5821940</v>
      </c>
      <c r="O201" t="s">
        <v>1652</v>
      </c>
      <c r="P201" t="s">
        <v>11</v>
      </c>
      <c r="Q201" t="str">
        <f t="shared" si="15"/>
        <v>Kid</v>
      </c>
    </row>
    <row r="202" spans="1:17" x14ac:dyDescent="0.3">
      <c r="A202" t="s">
        <v>1653</v>
      </c>
      <c r="B202">
        <v>2026</v>
      </c>
      <c r="C202" s="5" t="s">
        <v>163</v>
      </c>
      <c r="D202" t="s">
        <v>27</v>
      </c>
      <c r="E202" s="4">
        <v>9</v>
      </c>
      <c r="F202" t="str">
        <f t="shared" si="12"/>
        <v>Watch</v>
      </c>
      <c r="G202" t="str">
        <f t="shared" si="13"/>
        <v>Best</v>
      </c>
      <c r="H202" t="str" cm="1">
        <f t="array" ref="H202">_xlfn.IFS(E202&gt;8,"Best",E202=7,"Good",E202&gt;7,"Good",E202&lt;7,"Avg",E202&lt;6,"Below Avg")</f>
        <v>Best</v>
      </c>
      <c r="I202">
        <v>105</v>
      </c>
      <c r="K202" s="3">
        <v>25799220</v>
      </c>
      <c r="L202" s="3">
        <v>20199480</v>
      </c>
      <c r="M202" s="3">
        <f t="shared" si="14"/>
        <v>5599740</v>
      </c>
      <c r="N202" t="s">
        <v>1654</v>
      </c>
      <c r="O202" t="s">
        <v>1655</v>
      </c>
      <c r="P202" t="s">
        <v>11</v>
      </c>
      <c r="Q202" t="str">
        <f t="shared" si="15"/>
        <v>Kid</v>
      </c>
    </row>
    <row r="203" spans="1:17" x14ac:dyDescent="0.3">
      <c r="A203" t="s">
        <v>1656</v>
      </c>
      <c r="B203">
        <v>2026</v>
      </c>
      <c r="C203" s="5" t="s">
        <v>163</v>
      </c>
      <c r="D203" t="s">
        <v>27</v>
      </c>
      <c r="E203" s="4">
        <v>6.6</v>
      </c>
      <c r="F203" t="str">
        <f t="shared" si="12"/>
        <v>Watch</v>
      </c>
      <c r="G203" t="str">
        <f t="shared" si="13"/>
        <v>Avg</v>
      </c>
      <c r="H203" t="str" cm="1">
        <f t="array" ref="H203">_xlfn.IFS(E203&gt;8,"Best",E203=7,"Good",E203&gt;7,"Good",E203&lt;7,"Avg",E203&lt;6,"Below Avg")</f>
        <v>Avg</v>
      </c>
      <c r="I203">
        <v>141</v>
      </c>
      <c r="K203" s="3">
        <v>27919008</v>
      </c>
      <c r="L203" s="3">
        <v>21612672</v>
      </c>
      <c r="M203" s="3">
        <f t="shared" si="14"/>
        <v>6306336</v>
      </c>
      <c r="N203" t="s">
        <v>1657</v>
      </c>
      <c r="O203" t="s">
        <v>1658</v>
      </c>
      <c r="P203" t="s">
        <v>11</v>
      </c>
      <c r="Q203" t="str">
        <f t="shared" si="15"/>
        <v>Kid</v>
      </c>
    </row>
    <row r="204" spans="1:17" x14ac:dyDescent="0.3">
      <c r="A204" t="s">
        <v>1659</v>
      </c>
      <c r="B204">
        <v>2026</v>
      </c>
      <c r="C204" s="5" t="s">
        <v>163</v>
      </c>
      <c r="D204" t="s">
        <v>31</v>
      </c>
      <c r="E204" s="4">
        <v>6.6</v>
      </c>
      <c r="F204" t="str">
        <f t="shared" si="12"/>
        <v>Watch</v>
      </c>
      <c r="G204" t="str">
        <f t="shared" si="13"/>
        <v>Avg</v>
      </c>
      <c r="H204" t="str" cm="1">
        <f t="array" ref="H204">_xlfn.IFS(E204&gt;8,"Best",E204=7,"Good",E204&gt;7,"Good",E204&lt;7,"Avg",E204&lt;6,"Below Avg")</f>
        <v>Avg</v>
      </c>
      <c r="I204">
        <v>117</v>
      </c>
      <c r="K204" s="3">
        <v>27589041</v>
      </c>
      <c r="L204" s="3">
        <v>21392694</v>
      </c>
      <c r="M204" s="3">
        <f t="shared" si="14"/>
        <v>6196347</v>
      </c>
      <c r="N204" t="s">
        <v>1660</v>
      </c>
      <c r="O204" t="s">
        <v>1661</v>
      </c>
      <c r="P204" t="s">
        <v>11</v>
      </c>
      <c r="Q204" t="str">
        <f t="shared" si="15"/>
        <v>Kid</v>
      </c>
    </row>
    <row r="205" spans="1:17" x14ac:dyDescent="0.3">
      <c r="A205" t="s">
        <v>1662</v>
      </c>
      <c r="B205">
        <v>2026</v>
      </c>
      <c r="C205" s="5" t="s">
        <v>163</v>
      </c>
      <c r="D205" t="s">
        <v>39</v>
      </c>
      <c r="E205" s="4">
        <v>6.7</v>
      </c>
      <c r="F205" t="str">
        <f t="shared" si="12"/>
        <v>Watch</v>
      </c>
      <c r="G205" t="str">
        <f t="shared" si="13"/>
        <v>Avg</v>
      </c>
      <c r="H205" t="str" cm="1">
        <f t="array" ref="H205">_xlfn.IFS(E205&gt;8,"Best",E205=7,"Good",E205&gt;7,"Good",E205&lt;7,"Avg",E205&lt;6,"Below Avg")</f>
        <v>Avg</v>
      </c>
      <c r="I205">
        <v>136</v>
      </c>
      <c r="K205" s="3">
        <v>27152418</v>
      </c>
      <c r="L205" s="3">
        <v>21101612</v>
      </c>
      <c r="M205" s="3">
        <f t="shared" si="14"/>
        <v>6050806</v>
      </c>
      <c r="N205" t="s">
        <v>1663</v>
      </c>
      <c r="O205" t="s">
        <v>396</v>
      </c>
      <c r="P205" t="s">
        <v>11</v>
      </c>
      <c r="Q205" t="str">
        <f t="shared" si="15"/>
        <v>Kid</v>
      </c>
    </row>
    <row r="206" spans="1:17" x14ac:dyDescent="0.3">
      <c r="A206" t="s">
        <v>1672</v>
      </c>
      <c r="B206">
        <v>2026</v>
      </c>
      <c r="C206" s="5" t="s">
        <v>163</v>
      </c>
      <c r="D206" t="s">
        <v>2</v>
      </c>
      <c r="E206" s="4">
        <v>6.7</v>
      </c>
      <c r="F206" t="str">
        <f t="shared" si="12"/>
        <v>Watch</v>
      </c>
      <c r="G206" t="str">
        <f t="shared" si="13"/>
        <v>Avg</v>
      </c>
      <c r="H206" t="str" cm="1">
        <f t="array" ref="H206">_xlfn.IFS(E206&gt;8,"Best",E206=7,"Good",E206&gt;7,"Good",E206&lt;7,"Avg",E206&lt;6,"Below Avg")</f>
        <v>Avg</v>
      </c>
      <c r="I206">
        <v>94</v>
      </c>
      <c r="K206" s="3">
        <v>45020220</v>
      </c>
      <c r="L206" s="3">
        <v>12447336</v>
      </c>
      <c r="M206" s="3">
        <f t="shared" si="14"/>
        <v>32572884</v>
      </c>
      <c r="O206" t="s">
        <v>1352</v>
      </c>
      <c r="P206" t="s">
        <v>4</v>
      </c>
      <c r="Q206" t="str">
        <f t="shared" si="15"/>
        <v>Adult</v>
      </c>
    </row>
    <row r="207" spans="1:17" x14ac:dyDescent="0.3">
      <c r="A207" t="s">
        <v>1673</v>
      </c>
      <c r="B207">
        <v>2026</v>
      </c>
      <c r="C207" s="5" t="s">
        <v>163</v>
      </c>
      <c r="D207" t="s">
        <v>304</v>
      </c>
      <c r="E207" s="4">
        <v>6.1</v>
      </c>
      <c r="F207" t="str">
        <f t="shared" si="12"/>
        <v>Don't Watch</v>
      </c>
      <c r="G207" t="str">
        <f t="shared" si="13"/>
        <v>Avg</v>
      </c>
      <c r="H207" t="str" cm="1">
        <f t="array" ref="H207">_xlfn.IFS(E207&gt;8,"Best",E207=7,"Good",E207&gt;7,"Good",E207&lt;7,"Avg",E207&lt;6,"Below Avg")</f>
        <v>Avg</v>
      </c>
      <c r="I207">
        <v>103</v>
      </c>
      <c r="K207" s="3">
        <v>30542079</v>
      </c>
      <c r="L207" s="3">
        <v>23361386</v>
      </c>
      <c r="M207" s="3">
        <f t="shared" si="14"/>
        <v>7180693</v>
      </c>
      <c r="O207" t="s">
        <v>1674</v>
      </c>
      <c r="P207" t="s">
        <v>11</v>
      </c>
      <c r="Q207" t="str">
        <f t="shared" si="15"/>
        <v>Kid</v>
      </c>
    </row>
    <row r="208" spans="1:17" x14ac:dyDescent="0.3">
      <c r="A208" t="s">
        <v>1675</v>
      </c>
      <c r="B208">
        <v>2026</v>
      </c>
      <c r="C208" s="5" t="s">
        <v>163</v>
      </c>
      <c r="D208" t="s">
        <v>8</v>
      </c>
      <c r="E208" s="4">
        <v>9.1999999999999993</v>
      </c>
      <c r="F208" t="str">
        <f t="shared" si="12"/>
        <v>Watch</v>
      </c>
      <c r="G208" t="str">
        <f t="shared" si="13"/>
        <v>Best</v>
      </c>
      <c r="H208" t="str" cm="1">
        <f t="array" ref="H208">_xlfn.IFS(E208&gt;8,"Best",E208=7,"Good",E208&gt;7,"Good",E208&lt;7,"Avg",E208&lt;6,"Below Avg")</f>
        <v>Best</v>
      </c>
      <c r="I208">
        <v>101</v>
      </c>
      <c r="K208" s="3">
        <v>27785688</v>
      </c>
      <c r="L208" s="3">
        <v>21523792</v>
      </c>
      <c r="M208" s="3">
        <f t="shared" si="14"/>
        <v>6261896</v>
      </c>
      <c r="O208" t="s">
        <v>1676</v>
      </c>
      <c r="P208" t="s">
        <v>11</v>
      </c>
      <c r="Q208" t="str">
        <f t="shared" si="15"/>
        <v>Kid</v>
      </c>
    </row>
    <row r="209" spans="1:17" x14ac:dyDescent="0.3">
      <c r="A209" t="s">
        <v>1677</v>
      </c>
      <c r="B209">
        <v>2026</v>
      </c>
      <c r="C209" s="5" t="s">
        <v>163</v>
      </c>
      <c r="D209" t="s">
        <v>8</v>
      </c>
      <c r="E209" s="4">
        <v>8.6</v>
      </c>
      <c r="F209" t="str">
        <f t="shared" si="12"/>
        <v>Watch</v>
      </c>
      <c r="G209" t="str">
        <f t="shared" si="13"/>
        <v>Best</v>
      </c>
      <c r="H209" t="str" cm="1">
        <f t="array" ref="H209">_xlfn.IFS(E209&gt;8,"Best",E209=7,"Good",E209&gt;7,"Good",E209&lt;7,"Avg",E209&lt;6,"Below Avg")</f>
        <v>Best</v>
      </c>
      <c r="I209">
        <v>146</v>
      </c>
      <c r="K209" s="3">
        <v>32935173</v>
      </c>
      <c r="L209" s="3">
        <v>24956782</v>
      </c>
      <c r="M209" s="3">
        <f t="shared" si="14"/>
        <v>7978391</v>
      </c>
      <c r="O209" t="s">
        <v>590</v>
      </c>
      <c r="P209" t="s">
        <v>11</v>
      </c>
      <c r="Q209" t="str">
        <f t="shared" si="15"/>
        <v>Kid</v>
      </c>
    </row>
    <row r="210" spans="1:17" x14ac:dyDescent="0.3">
      <c r="A210" t="s">
        <v>1678</v>
      </c>
      <c r="B210">
        <v>2026</v>
      </c>
      <c r="C210" s="5" t="s">
        <v>163</v>
      </c>
      <c r="D210" t="s">
        <v>19</v>
      </c>
      <c r="E210" s="4">
        <v>6.4</v>
      </c>
      <c r="F210" t="str">
        <f t="shared" si="12"/>
        <v>Don't Watch</v>
      </c>
      <c r="G210" t="str">
        <f t="shared" si="13"/>
        <v>Avg</v>
      </c>
      <c r="H210" t="str" cm="1">
        <f t="array" ref="H210">_xlfn.IFS(E210&gt;8,"Best",E210=7,"Good",E210&gt;7,"Good",E210&lt;7,"Avg",E210&lt;6,"Below Avg")</f>
        <v>Avg</v>
      </c>
      <c r="I210">
        <v>157</v>
      </c>
      <c r="K210" s="3">
        <v>27472386</v>
      </c>
      <c r="L210" s="3">
        <v>21314924</v>
      </c>
      <c r="M210" s="3">
        <f t="shared" si="14"/>
        <v>6157462</v>
      </c>
      <c r="O210" t="s">
        <v>484</v>
      </c>
      <c r="P210" t="s">
        <v>11</v>
      </c>
      <c r="Q210" t="str">
        <f t="shared" si="15"/>
        <v>Kid</v>
      </c>
    </row>
    <row r="211" spans="1:17" x14ac:dyDescent="0.3">
      <c r="A211" t="s">
        <v>1759</v>
      </c>
      <c r="B211">
        <v>2026</v>
      </c>
      <c r="C211" s="5" t="s">
        <v>309</v>
      </c>
      <c r="D211" t="s">
        <v>2</v>
      </c>
      <c r="E211" s="4">
        <v>6.2</v>
      </c>
      <c r="F211" t="str">
        <f t="shared" si="12"/>
        <v>Don't Watch</v>
      </c>
      <c r="G211" t="str">
        <f t="shared" si="13"/>
        <v>Avg</v>
      </c>
      <c r="H211" t="str" cm="1">
        <f t="array" ref="H211">_xlfn.IFS(E211&gt;8,"Best",E211=7,"Good",E211&gt;7,"Good",E211&lt;7,"Avg",E211&lt;6,"Below Avg")</f>
        <v>Avg</v>
      </c>
      <c r="I211">
        <v>110</v>
      </c>
      <c r="K211" s="3">
        <v>47192225</v>
      </c>
      <c r="L211" s="3">
        <v>12929830</v>
      </c>
      <c r="M211" s="3">
        <f t="shared" si="14"/>
        <v>34262395</v>
      </c>
      <c r="N211" t="s">
        <v>1760</v>
      </c>
      <c r="O211" t="s">
        <v>1761</v>
      </c>
      <c r="P211" t="s">
        <v>4</v>
      </c>
      <c r="Q211" t="str">
        <f t="shared" si="15"/>
        <v>Adult</v>
      </c>
    </row>
    <row r="212" spans="1:17" x14ac:dyDescent="0.3">
      <c r="A212" t="s">
        <v>1773</v>
      </c>
      <c r="B212">
        <v>2026</v>
      </c>
      <c r="C212" s="5" t="s">
        <v>309</v>
      </c>
      <c r="D212" t="s">
        <v>27</v>
      </c>
      <c r="E212" s="4">
        <v>6</v>
      </c>
      <c r="F212" t="str">
        <f t="shared" si="12"/>
        <v>Don't Watch</v>
      </c>
      <c r="G212" t="str">
        <f t="shared" si="13"/>
        <v>Avg</v>
      </c>
      <c r="H212" t="str" cm="1">
        <f t="array" ref="H212">_xlfn.IFS(E212&gt;8,"Best",E212=7,"Good",E212&gt;7,"Good",E212&lt;7,"Avg",E212&lt;6,"Below Avg")</f>
        <v>Avg</v>
      </c>
      <c r="I212">
        <v>105</v>
      </c>
      <c r="K212" s="3">
        <v>29548845</v>
      </c>
      <c r="L212" s="3">
        <v>22699230</v>
      </c>
      <c r="M212" s="3">
        <f t="shared" si="14"/>
        <v>6849615</v>
      </c>
      <c r="N212" t="s">
        <v>1774</v>
      </c>
      <c r="O212" t="s">
        <v>1775</v>
      </c>
      <c r="P212" t="s">
        <v>11</v>
      </c>
      <c r="Q212" t="str">
        <f t="shared" si="15"/>
        <v>Kid</v>
      </c>
    </row>
    <row r="213" spans="1:17" x14ac:dyDescent="0.3">
      <c r="A213" t="s">
        <v>1798</v>
      </c>
      <c r="B213">
        <v>2026</v>
      </c>
      <c r="C213" s="5" t="s">
        <v>309</v>
      </c>
      <c r="D213" t="s">
        <v>2</v>
      </c>
      <c r="E213" s="4">
        <v>8</v>
      </c>
      <c r="F213" t="str">
        <f t="shared" si="12"/>
        <v>Watch</v>
      </c>
      <c r="G213" t="str">
        <f t="shared" si="13"/>
        <v>Good</v>
      </c>
      <c r="H213" t="str" cm="1">
        <f t="array" ref="H213">_xlfn.IFS(E213&gt;8,"Best",E213=7,"Good",E213&gt;7,"Good",E213&lt;7,"Avg",E213&lt;6,"Below Avg")</f>
        <v>Good</v>
      </c>
      <c r="I213">
        <v>122</v>
      </c>
      <c r="K213" s="3">
        <v>46009010</v>
      </c>
      <c r="L213" s="3">
        <v>12666988</v>
      </c>
      <c r="M213" s="3">
        <f t="shared" si="14"/>
        <v>33342022</v>
      </c>
      <c r="N213" t="s">
        <v>1799</v>
      </c>
      <c r="O213" t="s">
        <v>1800</v>
      </c>
      <c r="P213" t="s">
        <v>4</v>
      </c>
      <c r="Q213" t="str">
        <f t="shared" si="15"/>
        <v>Adult</v>
      </c>
    </row>
    <row r="214" spans="1:17" x14ac:dyDescent="0.3">
      <c r="A214" t="s">
        <v>1801</v>
      </c>
      <c r="B214">
        <v>2026</v>
      </c>
      <c r="C214" s="5" t="s">
        <v>309</v>
      </c>
      <c r="D214" t="s">
        <v>8</v>
      </c>
      <c r="E214" s="4">
        <v>6.4</v>
      </c>
      <c r="F214" t="str">
        <f t="shared" si="12"/>
        <v>Don't Watch</v>
      </c>
      <c r="G214" t="str">
        <f t="shared" si="13"/>
        <v>Avg</v>
      </c>
      <c r="H214" t="str" cm="1">
        <f t="array" ref="H214">_xlfn.IFS(E214&gt;8,"Best",E214=7,"Good",E214&gt;7,"Good",E214&lt;7,"Avg",E214&lt;6,"Below Avg")</f>
        <v>Avg</v>
      </c>
      <c r="I214">
        <v>100</v>
      </c>
      <c r="K214" s="3">
        <v>32531880</v>
      </c>
      <c r="L214" s="3">
        <v>24687920</v>
      </c>
      <c r="M214" s="3">
        <f t="shared" si="14"/>
        <v>7843960</v>
      </c>
      <c r="O214" t="s">
        <v>1802</v>
      </c>
      <c r="P214" t="s">
        <v>11</v>
      </c>
      <c r="Q214" t="str">
        <f t="shared" si="15"/>
        <v>Kid</v>
      </c>
    </row>
    <row r="215" spans="1:17" x14ac:dyDescent="0.3">
      <c r="A215" t="s">
        <v>1813</v>
      </c>
      <c r="B215">
        <v>2026</v>
      </c>
      <c r="C215" s="5" t="s">
        <v>309</v>
      </c>
      <c r="D215" t="s">
        <v>8</v>
      </c>
      <c r="E215" s="4">
        <v>7.8</v>
      </c>
      <c r="F215" t="str">
        <f t="shared" si="12"/>
        <v>Watch</v>
      </c>
      <c r="G215" t="str">
        <f t="shared" si="13"/>
        <v>Good</v>
      </c>
      <c r="H215" t="str" cm="1">
        <f t="array" ref="H215">_xlfn.IFS(E215&gt;8,"Best",E215=7,"Good",E215&gt;7,"Good",E215&lt;7,"Avg",E215&lt;6,"Below Avg")</f>
        <v>Good</v>
      </c>
      <c r="I215">
        <v>120</v>
      </c>
      <c r="K215" s="3">
        <v>27849015</v>
      </c>
      <c r="L215" s="3">
        <v>21566010</v>
      </c>
      <c r="M215" s="3">
        <f t="shared" si="14"/>
        <v>6283005</v>
      </c>
      <c r="N215" t="s">
        <v>1814</v>
      </c>
      <c r="O215" t="s">
        <v>1815</v>
      </c>
      <c r="P215" t="s">
        <v>11</v>
      </c>
      <c r="Q215" t="str">
        <f t="shared" si="15"/>
        <v>Kid</v>
      </c>
    </row>
    <row r="216" spans="1:17" x14ac:dyDescent="0.3">
      <c r="A216" t="s">
        <v>1822</v>
      </c>
      <c r="B216">
        <v>2026</v>
      </c>
      <c r="C216" s="5" t="s">
        <v>309</v>
      </c>
      <c r="D216" t="s">
        <v>2</v>
      </c>
      <c r="E216" s="4">
        <v>7.8</v>
      </c>
      <c r="F216" t="str">
        <f t="shared" si="12"/>
        <v>Watch</v>
      </c>
      <c r="G216" t="str">
        <f t="shared" si="13"/>
        <v>Good</v>
      </c>
      <c r="H216" t="str" cm="1">
        <f t="array" ref="H216">_xlfn.IFS(E216&gt;8,"Best",E216=7,"Good",E216&gt;7,"Good",E216&lt;7,"Avg",E216&lt;6,"Below Avg")</f>
        <v>Good</v>
      </c>
      <c r="I216">
        <v>144</v>
      </c>
      <c r="K216" s="3">
        <v>41964970</v>
      </c>
      <c r="L216" s="3">
        <v>11768636</v>
      </c>
      <c r="M216" s="3">
        <f t="shared" si="14"/>
        <v>30196334</v>
      </c>
      <c r="N216" t="s">
        <v>66</v>
      </c>
      <c r="O216" t="s">
        <v>1823</v>
      </c>
      <c r="P216" t="s">
        <v>4</v>
      </c>
      <c r="Q216" t="str">
        <f t="shared" si="15"/>
        <v>Adult</v>
      </c>
    </row>
    <row r="217" spans="1:17" x14ac:dyDescent="0.3">
      <c r="A217" t="s">
        <v>1762</v>
      </c>
      <c r="B217">
        <v>2026</v>
      </c>
      <c r="C217" s="5" t="s">
        <v>309</v>
      </c>
      <c r="D217" t="s">
        <v>19</v>
      </c>
      <c r="E217" s="4">
        <v>6.6</v>
      </c>
      <c r="F217" t="str">
        <f t="shared" si="12"/>
        <v>Watch</v>
      </c>
      <c r="G217" t="str">
        <f t="shared" si="13"/>
        <v>Avg</v>
      </c>
      <c r="H217" t="str" cm="1">
        <f t="array" ref="H217">_xlfn.IFS(E217&gt;8,"Best",E217=7,"Good",E217&gt;7,"Good",E217&lt;7,"Avg",E217&lt;6,"Below Avg")</f>
        <v>Avg</v>
      </c>
      <c r="I217">
        <v>132</v>
      </c>
      <c r="K217" s="3">
        <v>28138986</v>
      </c>
      <c r="L217" s="3">
        <v>21759324</v>
      </c>
      <c r="M217" s="3">
        <f t="shared" si="14"/>
        <v>6379662</v>
      </c>
      <c r="N217" t="s">
        <v>1763</v>
      </c>
      <c r="O217" t="s">
        <v>1764</v>
      </c>
      <c r="P217" t="s">
        <v>11</v>
      </c>
      <c r="Q217" t="str">
        <f t="shared" si="15"/>
        <v>Kid</v>
      </c>
    </row>
    <row r="218" spans="1:17" x14ac:dyDescent="0.3">
      <c r="A218" t="s">
        <v>1765</v>
      </c>
      <c r="B218">
        <v>2026</v>
      </c>
      <c r="C218" s="5" t="s">
        <v>309</v>
      </c>
      <c r="D218" t="s">
        <v>93</v>
      </c>
      <c r="E218" s="4">
        <v>7.1</v>
      </c>
      <c r="F218" t="str">
        <f t="shared" si="12"/>
        <v>Watch</v>
      </c>
      <c r="G218" t="str">
        <f t="shared" si="13"/>
        <v>Good</v>
      </c>
      <c r="H218" t="str" cm="1">
        <f t="array" ref="H218">_xlfn.IFS(E218&gt;8,"Best",E218=7,"Good",E218&gt;7,"Good",E218&lt;7,"Avg",E218&lt;6,"Below Avg")</f>
        <v>Good</v>
      </c>
      <c r="I218">
        <v>140</v>
      </c>
      <c r="K218" s="3">
        <v>27165750</v>
      </c>
      <c r="L218" s="3">
        <v>21110500</v>
      </c>
      <c r="M218" s="3">
        <f t="shared" si="14"/>
        <v>6055250</v>
      </c>
      <c r="N218" t="s">
        <v>1766</v>
      </c>
      <c r="O218" t="s">
        <v>737</v>
      </c>
      <c r="P218" t="s">
        <v>11</v>
      </c>
      <c r="Q218" t="str">
        <f t="shared" si="15"/>
        <v>Kid</v>
      </c>
    </row>
    <row r="219" spans="1:17" x14ac:dyDescent="0.3">
      <c r="A219" t="s">
        <v>1767</v>
      </c>
      <c r="B219">
        <v>2026</v>
      </c>
      <c r="C219" s="5" t="s">
        <v>309</v>
      </c>
      <c r="D219" t="s">
        <v>232</v>
      </c>
      <c r="E219" s="4">
        <v>7.8</v>
      </c>
      <c r="F219" t="str">
        <f t="shared" si="12"/>
        <v>Watch</v>
      </c>
      <c r="G219" t="str">
        <f t="shared" si="13"/>
        <v>Good</v>
      </c>
      <c r="H219" t="str" cm="1">
        <f t="array" ref="H219">_xlfn.IFS(E219&gt;8,"Best",E219=7,"Good",E219&gt;7,"Good",E219&lt;7,"Avg",E219&lt;6,"Below Avg")</f>
        <v>Good</v>
      </c>
      <c r="I219">
        <v>120</v>
      </c>
      <c r="K219" s="3">
        <v>27849015</v>
      </c>
      <c r="L219" s="3">
        <v>21566010</v>
      </c>
      <c r="M219" s="3">
        <f t="shared" si="14"/>
        <v>6283005</v>
      </c>
      <c r="N219" t="s">
        <v>16</v>
      </c>
      <c r="O219" t="s">
        <v>1768</v>
      </c>
      <c r="P219" t="s">
        <v>11</v>
      </c>
      <c r="Q219" t="str">
        <f t="shared" si="15"/>
        <v>Kid</v>
      </c>
    </row>
    <row r="220" spans="1:17" x14ac:dyDescent="0.3">
      <c r="A220" t="s">
        <v>1769</v>
      </c>
      <c r="B220">
        <v>2026</v>
      </c>
      <c r="C220" s="5" t="s">
        <v>309</v>
      </c>
      <c r="D220" t="s">
        <v>8</v>
      </c>
      <c r="E220" s="4">
        <v>8.4</v>
      </c>
      <c r="F220" t="str">
        <f t="shared" si="12"/>
        <v>Watch</v>
      </c>
      <c r="G220" t="str">
        <f t="shared" si="13"/>
        <v>Good</v>
      </c>
      <c r="H220" t="str" cm="1">
        <f t="array" ref="H220">_xlfn.IFS(E220&gt;8,"Best",E220=7,"Good",E220&gt;7,"Good",E220&lt;7,"Avg",E220&lt;6,"Below Avg")</f>
        <v>Best</v>
      </c>
      <c r="I220">
        <v>117</v>
      </c>
      <c r="K220" s="3">
        <v>28088991</v>
      </c>
      <c r="L220" s="3">
        <v>21725994</v>
      </c>
      <c r="M220" s="3">
        <f t="shared" si="14"/>
        <v>6362997</v>
      </c>
      <c r="O220" t="s">
        <v>1770</v>
      </c>
      <c r="P220" t="s">
        <v>11</v>
      </c>
      <c r="Q220" t="str">
        <f t="shared" si="15"/>
        <v>Kid</v>
      </c>
    </row>
    <row r="221" spans="1:17" x14ac:dyDescent="0.3">
      <c r="A221" t="s">
        <v>1771</v>
      </c>
      <c r="B221">
        <v>2026</v>
      </c>
      <c r="C221" s="5" t="s">
        <v>309</v>
      </c>
      <c r="D221" t="s">
        <v>49</v>
      </c>
      <c r="E221" s="4">
        <v>9</v>
      </c>
      <c r="F221" t="str">
        <f t="shared" si="12"/>
        <v>Watch</v>
      </c>
      <c r="G221" t="str">
        <f t="shared" si="13"/>
        <v>Best</v>
      </c>
      <c r="H221" t="str" cm="1">
        <f t="array" ref="H221">_xlfn.IFS(E221&gt;8,"Best",E221=7,"Good",E221&gt;7,"Good",E221&lt;7,"Avg",E221&lt;6,"Below Avg")</f>
        <v>Best</v>
      </c>
      <c r="I221">
        <v>114</v>
      </c>
      <c r="K221" s="3">
        <v>28328967</v>
      </c>
      <c r="L221" s="3">
        <v>21885978</v>
      </c>
      <c r="M221" s="3">
        <f t="shared" si="14"/>
        <v>6442989</v>
      </c>
      <c r="O221" t="s">
        <v>1772</v>
      </c>
      <c r="P221" t="s">
        <v>11</v>
      </c>
      <c r="Q221" t="str">
        <f t="shared" si="15"/>
        <v>Kid</v>
      </c>
    </row>
    <row r="222" spans="1:17" x14ac:dyDescent="0.3">
      <c r="A222" t="s">
        <v>1776</v>
      </c>
      <c r="B222">
        <v>2026</v>
      </c>
      <c r="C222" s="5" t="s">
        <v>309</v>
      </c>
      <c r="D222" t="s">
        <v>27</v>
      </c>
      <c r="E222" s="4">
        <v>8.6</v>
      </c>
      <c r="F222" t="str">
        <f t="shared" si="12"/>
        <v>Watch</v>
      </c>
      <c r="G222" t="str">
        <f t="shared" si="13"/>
        <v>Best</v>
      </c>
      <c r="H222" t="str" cm="1">
        <f t="array" ref="H222">_xlfn.IFS(E222&gt;8,"Best",E222=7,"Good",E222&gt;7,"Good",E222&lt;7,"Avg",E222&lt;6,"Below Avg")</f>
        <v>Best</v>
      </c>
      <c r="I222">
        <v>110</v>
      </c>
      <c r="K222" s="3">
        <v>31065360</v>
      </c>
      <c r="L222" s="3">
        <v>23710240</v>
      </c>
      <c r="M222" s="3">
        <f t="shared" si="14"/>
        <v>7355120</v>
      </c>
      <c r="N222" t="s">
        <v>1777</v>
      </c>
      <c r="O222" t="s">
        <v>1778</v>
      </c>
      <c r="P222" t="s">
        <v>11</v>
      </c>
      <c r="Q222" t="str">
        <f t="shared" si="15"/>
        <v>Kid</v>
      </c>
    </row>
    <row r="223" spans="1:17" x14ac:dyDescent="0.3">
      <c r="A223" t="s">
        <v>1779</v>
      </c>
      <c r="B223">
        <v>2026</v>
      </c>
      <c r="C223" s="5" t="s">
        <v>309</v>
      </c>
      <c r="D223" t="s">
        <v>65</v>
      </c>
      <c r="E223" s="4">
        <v>9.1999999999999993</v>
      </c>
      <c r="F223" t="str">
        <f t="shared" si="12"/>
        <v>Watch</v>
      </c>
      <c r="G223" t="str">
        <f t="shared" si="13"/>
        <v>Best</v>
      </c>
      <c r="H223" t="str" cm="1">
        <f t="array" ref="H223">_xlfn.IFS(E223&gt;8,"Best",E223=7,"Good",E223&gt;7,"Good",E223&lt;7,"Avg",E223&lt;6,"Below Avg")</f>
        <v>Best</v>
      </c>
      <c r="I223">
        <v>146</v>
      </c>
      <c r="K223" s="3">
        <v>67931673</v>
      </c>
      <c r="L223" s="3">
        <v>48287782</v>
      </c>
      <c r="M223" s="3">
        <f t="shared" si="14"/>
        <v>19643891</v>
      </c>
      <c r="N223" t="s">
        <v>1780</v>
      </c>
      <c r="O223" t="s">
        <v>1781</v>
      </c>
      <c r="P223" t="s">
        <v>11</v>
      </c>
      <c r="Q223" t="str">
        <f t="shared" si="15"/>
        <v>Kid</v>
      </c>
    </row>
    <row r="224" spans="1:17" x14ac:dyDescent="0.3">
      <c r="A224" t="s">
        <v>1782</v>
      </c>
      <c r="B224">
        <v>2026</v>
      </c>
      <c r="C224" s="5" t="s">
        <v>309</v>
      </c>
      <c r="D224" t="s">
        <v>85</v>
      </c>
      <c r="E224" s="4">
        <v>8.1</v>
      </c>
      <c r="F224" t="str">
        <f t="shared" si="12"/>
        <v>Watch</v>
      </c>
      <c r="G224" t="str">
        <f t="shared" si="13"/>
        <v>Good</v>
      </c>
      <c r="H224" t="str" cm="1">
        <f t="array" ref="H224">_xlfn.IFS(E224&gt;8,"Best",E224=7,"Good",E224&gt;7,"Good",E224&lt;7,"Avg",E224&lt;6,"Below Avg")</f>
        <v>Best</v>
      </c>
      <c r="I224">
        <v>114</v>
      </c>
      <c r="K224" s="3">
        <v>50964070</v>
      </c>
      <c r="L224" s="3">
        <v>13767716</v>
      </c>
      <c r="M224" s="3">
        <f t="shared" si="14"/>
        <v>37196354</v>
      </c>
      <c r="O224" t="s">
        <v>1783</v>
      </c>
      <c r="P224" t="s">
        <v>4</v>
      </c>
      <c r="Q224" t="str">
        <f t="shared" si="15"/>
        <v>Adult</v>
      </c>
    </row>
    <row r="225" spans="1:17" x14ac:dyDescent="0.3">
      <c r="A225" t="s">
        <v>1784</v>
      </c>
      <c r="B225">
        <v>2026</v>
      </c>
      <c r="C225" s="5" t="s">
        <v>309</v>
      </c>
      <c r="D225" t="s">
        <v>8</v>
      </c>
      <c r="E225" s="4">
        <v>8.1</v>
      </c>
      <c r="F225" t="str">
        <f t="shared" si="12"/>
        <v>Watch</v>
      </c>
      <c r="G225" t="str">
        <f t="shared" si="13"/>
        <v>Good</v>
      </c>
      <c r="H225" t="str" cm="1">
        <f t="array" ref="H225">_xlfn.IFS(E225&gt;8,"Best",E225=7,"Good",E225&gt;7,"Good",E225&lt;7,"Avg",E225&lt;6,"Below Avg")</f>
        <v>Best</v>
      </c>
      <c r="I225">
        <v>99</v>
      </c>
      <c r="K225" s="3">
        <v>27529047</v>
      </c>
      <c r="L225" s="3">
        <v>21352698</v>
      </c>
      <c r="M225" s="3">
        <f t="shared" si="14"/>
        <v>6176349</v>
      </c>
      <c r="N225" t="s">
        <v>1785</v>
      </c>
      <c r="O225" t="s">
        <v>1786</v>
      </c>
      <c r="P225" t="s">
        <v>11</v>
      </c>
      <c r="Q225" t="str">
        <f t="shared" si="15"/>
        <v>Kid</v>
      </c>
    </row>
    <row r="226" spans="1:17" x14ac:dyDescent="0.3">
      <c r="A226" t="s">
        <v>1787</v>
      </c>
      <c r="B226">
        <v>2026</v>
      </c>
      <c r="C226" s="5" t="s">
        <v>309</v>
      </c>
      <c r="D226" t="s">
        <v>8</v>
      </c>
      <c r="E226" s="4">
        <v>7.1</v>
      </c>
      <c r="F226" t="str">
        <f t="shared" si="12"/>
        <v>Watch</v>
      </c>
      <c r="G226" t="str">
        <f t="shared" si="13"/>
        <v>Good</v>
      </c>
      <c r="H226" t="str" cm="1">
        <f t="array" ref="H226">_xlfn.IFS(E226&gt;8,"Best",E226=7,"Good",E226&gt;7,"Good",E226&lt;7,"Avg",E226&lt;6,"Below Avg")</f>
        <v>Good</v>
      </c>
      <c r="I226">
        <v>137</v>
      </c>
      <c r="K226" s="3">
        <v>28155651</v>
      </c>
      <c r="L226" s="3">
        <v>21770434</v>
      </c>
      <c r="M226" s="3">
        <f t="shared" si="14"/>
        <v>6385217</v>
      </c>
      <c r="N226" t="s">
        <v>1788</v>
      </c>
      <c r="O226" t="s">
        <v>1789</v>
      </c>
      <c r="P226" t="s">
        <v>11</v>
      </c>
      <c r="Q226" t="str">
        <f t="shared" si="15"/>
        <v>Kid</v>
      </c>
    </row>
    <row r="227" spans="1:17" x14ac:dyDescent="0.3">
      <c r="A227" t="s">
        <v>1790</v>
      </c>
      <c r="B227">
        <v>2026</v>
      </c>
      <c r="C227" s="5" t="s">
        <v>309</v>
      </c>
      <c r="D227" t="s">
        <v>8</v>
      </c>
      <c r="E227" s="4">
        <v>8.9</v>
      </c>
      <c r="F227" t="str">
        <f t="shared" si="12"/>
        <v>Watch</v>
      </c>
      <c r="G227" t="str">
        <f t="shared" si="13"/>
        <v>Best</v>
      </c>
      <c r="H227" t="str" cm="1">
        <f t="array" ref="H227">_xlfn.IFS(E227&gt;8,"Best",E227=7,"Good",E227&gt;7,"Good",E227&lt;7,"Avg",E227&lt;6,"Below Avg")</f>
        <v>Best</v>
      </c>
      <c r="I227">
        <v>98</v>
      </c>
      <c r="K227" s="3">
        <v>27775689</v>
      </c>
      <c r="L227" s="3">
        <v>21517126</v>
      </c>
      <c r="M227" s="3">
        <f t="shared" si="14"/>
        <v>6258563</v>
      </c>
      <c r="O227" t="s">
        <v>1791</v>
      </c>
      <c r="P227" t="s">
        <v>11</v>
      </c>
      <c r="Q227" t="str">
        <f t="shared" si="15"/>
        <v>Kid</v>
      </c>
    </row>
    <row r="228" spans="1:17" x14ac:dyDescent="0.3">
      <c r="A228" t="s">
        <v>1792</v>
      </c>
      <c r="B228">
        <v>2026</v>
      </c>
      <c r="C228" s="5" t="s">
        <v>309</v>
      </c>
      <c r="D228" t="s">
        <v>148</v>
      </c>
      <c r="E228" s="4">
        <v>8.4</v>
      </c>
      <c r="F228" t="str">
        <f t="shared" si="12"/>
        <v>Watch</v>
      </c>
      <c r="G228" t="str">
        <f t="shared" si="13"/>
        <v>Good</v>
      </c>
      <c r="H228" t="str" cm="1">
        <f t="array" ref="H228">_xlfn.IFS(E228&gt;8,"Best",E228=7,"Good",E228&gt;7,"Good",E228&lt;7,"Avg",E228&lt;6,"Below Avg")</f>
        <v>Best</v>
      </c>
      <c r="I228">
        <v>126</v>
      </c>
      <c r="K228" s="3">
        <v>41448355</v>
      </c>
      <c r="L228" s="3">
        <v>11653874</v>
      </c>
      <c r="M228" s="3">
        <f t="shared" si="14"/>
        <v>29794481</v>
      </c>
      <c r="N228" t="s">
        <v>1793</v>
      </c>
      <c r="O228" t="s">
        <v>1794</v>
      </c>
      <c r="P228" t="s">
        <v>4</v>
      </c>
      <c r="Q228" t="str">
        <f t="shared" si="15"/>
        <v>Adult</v>
      </c>
    </row>
    <row r="229" spans="1:17" x14ac:dyDescent="0.3">
      <c r="A229" t="s">
        <v>1795</v>
      </c>
      <c r="B229">
        <v>2026</v>
      </c>
      <c r="C229" s="5" t="s">
        <v>309</v>
      </c>
      <c r="D229" t="s">
        <v>8</v>
      </c>
      <c r="E229" s="4">
        <v>9.1</v>
      </c>
      <c r="F229" t="str">
        <f t="shared" si="12"/>
        <v>Watch</v>
      </c>
      <c r="G229" t="str">
        <f t="shared" si="13"/>
        <v>Best</v>
      </c>
      <c r="H229" t="str" cm="1">
        <f t="array" ref="H229">_xlfn.IFS(E229&gt;8,"Best",E229=7,"Good",E229&gt;7,"Good",E229&lt;7,"Avg",E229&lt;6,"Below Avg")</f>
        <v>Best</v>
      </c>
      <c r="I229">
        <v>91</v>
      </c>
      <c r="K229" s="3">
        <v>28002333</v>
      </c>
      <c r="L229" s="3">
        <v>21668222</v>
      </c>
      <c r="M229" s="3">
        <f t="shared" si="14"/>
        <v>6334111</v>
      </c>
      <c r="N229" t="s">
        <v>744</v>
      </c>
      <c r="O229" t="s">
        <v>771</v>
      </c>
      <c r="P229" t="s">
        <v>11</v>
      </c>
      <c r="Q229" t="str">
        <f t="shared" si="15"/>
        <v>Kid</v>
      </c>
    </row>
    <row r="230" spans="1:17" x14ac:dyDescent="0.3">
      <c r="A230" t="s">
        <v>1796</v>
      </c>
      <c r="B230">
        <v>2026</v>
      </c>
      <c r="C230" s="5" t="s">
        <v>309</v>
      </c>
      <c r="D230" t="s">
        <v>8</v>
      </c>
      <c r="E230" s="4">
        <v>7.6</v>
      </c>
      <c r="F230" t="str">
        <f t="shared" si="12"/>
        <v>Watch</v>
      </c>
      <c r="G230" t="str">
        <f t="shared" si="13"/>
        <v>Good</v>
      </c>
      <c r="H230" t="str" cm="1">
        <f t="array" ref="H230">_xlfn.IFS(E230&gt;8,"Best",E230=7,"Good",E230&gt;7,"Good",E230&lt;7,"Avg",E230&lt;6,"Below Avg")</f>
        <v>Good</v>
      </c>
      <c r="I230">
        <v>118</v>
      </c>
      <c r="K230" s="3">
        <v>27842349</v>
      </c>
      <c r="L230" s="3">
        <v>21561566</v>
      </c>
      <c r="M230" s="3">
        <f t="shared" si="14"/>
        <v>6280783</v>
      </c>
      <c r="O230" t="s">
        <v>1797</v>
      </c>
      <c r="P230" t="s">
        <v>11</v>
      </c>
      <c r="Q230" t="str">
        <f t="shared" si="15"/>
        <v>Kid</v>
      </c>
    </row>
    <row r="231" spans="1:17" x14ac:dyDescent="0.3">
      <c r="A231" t="s">
        <v>1803</v>
      </c>
      <c r="B231">
        <v>2026</v>
      </c>
      <c r="C231" s="5" t="s">
        <v>309</v>
      </c>
      <c r="D231" t="s">
        <v>19</v>
      </c>
      <c r="E231" s="4">
        <v>8.5</v>
      </c>
      <c r="F231" t="str">
        <f t="shared" si="12"/>
        <v>Watch</v>
      </c>
      <c r="G231" t="str">
        <f t="shared" si="13"/>
        <v>Good</v>
      </c>
      <c r="H231" t="str" cm="1">
        <f t="array" ref="H231">_xlfn.IFS(E231&gt;8,"Best",E231=7,"Good",E231&gt;7,"Good",E231&lt;7,"Avg",E231&lt;6,"Below Avg")</f>
        <v>Best</v>
      </c>
      <c r="I231">
        <v>127</v>
      </c>
      <c r="K231" s="3">
        <v>27872346</v>
      </c>
      <c r="L231" s="3">
        <v>21581564</v>
      </c>
      <c r="M231" s="3">
        <f t="shared" si="14"/>
        <v>6290782</v>
      </c>
      <c r="N231" t="s">
        <v>1804</v>
      </c>
      <c r="O231" t="s">
        <v>377</v>
      </c>
      <c r="P231" t="s">
        <v>11</v>
      </c>
      <c r="Q231" t="str">
        <f t="shared" si="15"/>
        <v>Kid</v>
      </c>
    </row>
    <row r="232" spans="1:17" x14ac:dyDescent="0.3">
      <c r="A232" t="s">
        <v>1805</v>
      </c>
      <c r="B232">
        <v>2026</v>
      </c>
      <c r="C232" s="5" t="s">
        <v>309</v>
      </c>
      <c r="D232" t="s">
        <v>19</v>
      </c>
      <c r="E232" s="4">
        <v>6.4</v>
      </c>
      <c r="F232" t="str">
        <f t="shared" si="12"/>
        <v>Don't Watch</v>
      </c>
      <c r="G232" t="str">
        <f t="shared" si="13"/>
        <v>Avg</v>
      </c>
      <c r="H232" t="str" cm="1">
        <f t="array" ref="H232">_xlfn.IFS(E232&gt;8,"Best",E232=7,"Good",E232&gt;7,"Good",E232&lt;7,"Avg",E232&lt;6,"Below Avg")</f>
        <v>Avg</v>
      </c>
      <c r="I232">
        <v>112</v>
      </c>
      <c r="K232" s="3">
        <v>28572276</v>
      </c>
      <c r="L232" s="3">
        <v>22048184</v>
      </c>
      <c r="M232" s="3">
        <f t="shared" si="14"/>
        <v>6524092</v>
      </c>
      <c r="N232" t="s">
        <v>1806</v>
      </c>
      <c r="O232" t="s">
        <v>1807</v>
      </c>
      <c r="P232" t="s">
        <v>11</v>
      </c>
      <c r="Q232" t="str">
        <f t="shared" si="15"/>
        <v>Kid</v>
      </c>
    </row>
    <row r="233" spans="1:17" x14ac:dyDescent="0.3">
      <c r="A233" t="s">
        <v>1808</v>
      </c>
      <c r="B233">
        <v>2026</v>
      </c>
      <c r="C233" s="5" t="s">
        <v>309</v>
      </c>
      <c r="D233" t="s">
        <v>19</v>
      </c>
      <c r="E233" s="4">
        <v>7.1</v>
      </c>
      <c r="F233" t="str">
        <f t="shared" si="12"/>
        <v>Watch</v>
      </c>
      <c r="G233" t="str">
        <f t="shared" si="13"/>
        <v>Good</v>
      </c>
      <c r="H233" t="str" cm="1">
        <f t="array" ref="H233">_xlfn.IFS(E233&gt;8,"Best",E233=7,"Good",E233&gt;7,"Good",E233&lt;7,"Avg",E233&lt;6,"Below Avg")</f>
        <v>Good</v>
      </c>
      <c r="I233">
        <v>92</v>
      </c>
      <c r="K233" s="3">
        <v>26505816</v>
      </c>
      <c r="L233" s="3">
        <v>20670544</v>
      </c>
      <c r="M233" s="3">
        <f t="shared" si="14"/>
        <v>5835272</v>
      </c>
      <c r="O233" t="s">
        <v>1809</v>
      </c>
      <c r="P233" t="s">
        <v>11</v>
      </c>
      <c r="Q233" t="str">
        <f t="shared" si="15"/>
        <v>Kid</v>
      </c>
    </row>
    <row r="234" spans="1:17" x14ac:dyDescent="0.3">
      <c r="A234" t="s">
        <v>1810</v>
      </c>
      <c r="B234">
        <v>2026</v>
      </c>
      <c r="C234" s="5" t="s">
        <v>309</v>
      </c>
      <c r="D234" t="s">
        <v>61</v>
      </c>
      <c r="E234" s="4">
        <v>9.1999999999999993</v>
      </c>
      <c r="F234" t="str">
        <f t="shared" si="12"/>
        <v>Watch</v>
      </c>
      <c r="G234" t="str">
        <f t="shared" si="13"/>
        <v>Best</v>
      </c>
      <c r="H234" t="str" cm="1">
        <f t="array" ref="H234">_xlfn.IFS(E234&gt;8,"Best",E234=7,"Good",E234&gt;7,"Good",E234&lt;7,"Avg",E234&lt;6,"Below Avg")</f>
        <v>Best</v>
      </c>
      <c r="I234">
        <v>143</v>
      </c>
      <c r="K234" s="3">
        <v>30425424</v>
      </c>
      <c r="L234" s="3">
        <v>23283616</v>
      </c>
      <c r="M234" s="3">
        <f t="shared" si="14"/>
        <v>7141808</v>
      </c>
      <c r="O234" t="s">
        <v>1811</v>
      </c>
      <c r="P234" t="s">
        <v>11</v>
      </c>
      <c r="Q234" t="str">
        <f t="shared" si="15"/>
        <v>Kid</v>
      </c>
    </row>
    <row r="235" spans="1:17" x14ac:dyDescent="0.3">
      <c r="A235" t="s">
        <v>1812</v>
      </c>
      <c r="B235">
        <v>2026</v>
      </c>
      <c r="C235" s="5" t="s">
        <v>309</v>
      </c>
      <c r="D235" t="s">
        <v>148</v>
      </c>
      <c r="E235" s="4">
        <v>9.1999999999999993</v>
      </c>
      <c r="F235" t="str">
        <f t="shared" si="12"/>
        <v>Watch</v>
      </c>
      <c r="G235" t="str">
        <f t="shared" si="13"/>
        <v>Best</v>
      </c>
      <c r="H235" t="str" cm="1">
        <f t="array" ref="H235">_xlfn.IFS(E235&gt;8,"Best",E235=7,"Good",E235&gt;7,"Good",E235&lt;7,"Avg",E235&lt;6,"Below Avg")</f>
        <v>Best</v>
      </c>
      <c r="I235">
        <v>116</v>
      </c>
      <c r="K235" s="3">
        <v>42226055</v>
      </c>
      <c r="L235" s="3">
        <v>11826634</v>
      </c>
      <c r="M235" s="3">
        <f t="shared" si="14"/>
        <v>30399421</v>
      </c>
      <c r="O235" t="s">
        <v>487</v>
      </c>
      <c r="P235" t="s">
        <v>4</v>
      </c>
      <c r="Q235" t="str">
        <f t="shared" si="15"/>
        <v>Adult</v>
      </c>
    </row>
    <row r="236" spans="1:17" x14ac:dyDescent="0.3">
      <c r="A236" t="s">
        <v>1816</v>
      </c>
      <c r="B236">
        <v>2026</v>
      </c>
      <c r="C236" s="5" t="s">
        <v>309</v>
      </c>
      <c r="D236" t="s">
        <v>8</v>
      </c>
      <c r="E236" s="4">
        <v>7.9</v>
      </c>
      <c r="F236" t="str">
        <f t="shared" si="12"/>
        <v>Watch</v>
      </c>
      <c r="G236" t="str">
        <f t="shared" si="13"/>
        <v>Good</v>
      </c>
      <c r="H236" t="str" cm="1">
        <f t="array" ref="H236">_xlfn.IFS(E236&gt;8,"Best",E236=7,"Good",E236&gt;7,"Good",E236&lt;7,"Avg",E236&lt;6,"Below Avg")</f>
        <v>Good</v>
      </c>
      <c r="I236">
        <v>124</v>
      </c>
      <c r="K236" s="3">
        <v>29612172</v>
      </c>
      <c r="L236" s="3">
        <v>22741448</v>
      </c>
      <c r="M236" s="3">
        <f t="shared" si="14"/>
        <v>6870724</v>
      </c>
      <c r="O236" t="s">
        <v>1817</v>
      </c>
      <c r="P236" t="s">
        <v>11</v>
      </c>
      <c r="Q236" t="str">
        <f t="shared" si="15"/>
        <v>Kid</v>
      </c>
    </row>
    <row r="237" spans="1:17" x14ac:dyDescent="0.3">
      <c r="A237" t="s">
        <v>1818</v>
      </c>
      <c r="B237">
        <v>2026</v>
      </c>
      <c r="C237" s="5" t="s">
        <v>309</v>
      </c>
      <c r="D237" t="s">
        <v>23</v>
      </c>
      <c r="E237" s="4">
        <v>8.4</v>
      </c>
      <c r="F237" t="str">
        <f t="shared" si="12"/>
        <v>Watch</v>
      </c>
      <c r="G237" t="str">
        <f t="shared" si="13"/>
        <v>Good</v>
      </c>
      <c r="H237" t="str" cm="1">
        <f t="array" ref="H237">_xlfn.IFS(E237&gt;8,"Best",E237=7,"Good",E237&gt;7,"Good",E237&lt;7,"Avg",E237&lt;6,"Below Avg")</f>
        <v>Best</v>
      </c>
      <c r="I237">
        <v>99</v>
      </c>
      <c r="K237" s="3">
        <v>28528947</v>
      </c>
      <c r="L237" s="3">
        <v>22019298</v>
      </c>
      <c r="M237" s="3">
        <f t="shared" si="14"/>
        <v>6509649</v>
      </c>
      <c r="O237" t="s">
        <v>1819</v>
      </c>
      <c r="P237" t="s">
        <v>11</v>
      </c>
      <c r="Q237" t="str">
        <f t="shared" si="15"/>
        <v>Kid</v>
      </c>
    </row>
    <row r="238" spans="1:17" x14ac:dyDescent="0.3">
      <c r="A238" t="s">
        <v>1820</v>
      </c>
      <c r="B238">
        <v>2026</v>
      </c>
      <c r="C238" s="5" t="s">
        <v>309</v>
      </c>
      <c r="D238" t="s">
        <v>8</v>
      </c>
      <c r="E238" s="4">
        <v>6.3</v>
      </c>
      <c r="F238" t="str">
        <f t="shared" si="12"/>
        <v>Don't Watch</v>
      </c>
      <c r="G238" t="str">
        <f t="shared" si="13"/>
        <v>Avg</v>
      </c>
      <c r="H238" t="str" cm="1">
        <f t="array" ref="H238">_xlfn.IFS(E238&gt;8,"Best",E238=7,"Good",E238&gt;7,"Good",E238&lt;7,"Avg",E238&lt;6,"Below Avg")</f>
        <v>Avg</v>
      </c>
      <c r="I238">
        <v>132</v>
      </c>
      <c r="K238" s="3">
        <v>27139086</v>
      </c>
      <c r="L238" s="3">
        <v>21092724</v>
      </c>
      <c r="M238" s="3">
        <f t="shared" si="14"/>
        <v>6046362</v>
      </c>
      <c r="N238" t="s">
        <v>1821</v>
      </c>
      <c r="O238" t="s">
        <v>838</v>
      </c>
      <c r="P238" t="s">
        <v>11</v>
      </c>
      <c r="Q238" t="str">
        <f t="shared" si="15"/>
        <v>Kid</v>
      </c>
    </row>
    <row r="239" spans="1:17" x14ac:dyDescent="0.3">
      <c r="A239" t="s">
        <v>2104</v>
      </c>
      <c r="B239">
        <v>2026</v>
      </c>
      <c r="C239" s="5" t="s">
        <v>693</v>
      </c>
      <c r="D239" t="s">
        <v>8</v>
      </c>
      <c r="E239" s="4">
        <v>6.4</v>
      </c>
      <c r="F239" t="str">
        <f t="shared" si="12"/>
        <v>Don't Watch</v>
      </c>
      <c r="G239" t="str">
        <f t="shared" si="13"/>
        <v>Avg</v>
      </c>
      <c r="H239" t="str" cm="1">
        <f t="array" ref="H239">_xlfn.IFS(E239&gt;8,"Best",E239=7,"Good",E239&gt;7,"Good",E239&lt;7,"Avg",E239&lt;6,"Below Avg")</f>
        <v>Avg</v>
      </c>
      <c r="I239">
        <v>157</v>
      </c>
      <c r="K239" s="3">
        <v>27472386</v>
      </c>
      <c r="L239" s="3">
        <v>21314924</v>
      </c>
      <c r="M239" s="3">
        <f t="shared" si="14"/>
        <v>6157462</v>
      </c>
      <c r="N239" t="s">
        <v>2105</v>
      </c>
      <c r="O239" t="s">
        <v>377</v>
      </c>
      <c r="P239" t="s">
        <v>11</v>
      </c>
      <c r="Q239" t="str">
        <f t="shared" si="15"/>
        <v>Kid</v>
      </c>
    </row>
    <row r="240" spans="1:17" x14ac:dyDescent="0.3">
      <c r="A240" t="s">
        <v>2108</v>
      </c>
      <c r="B240">
        <v>2026</v>
      </c>
      <c r="C240" s="5" t="s">
        <v>693</v>
      </c>
      <c r="D240" t="s">
        <v>148</v>
      </c>
      <c r="E240" s="4">
        <v>6.4</v>
      </c>
      <c r="F240" t="str">
        <f t="shared" si="12"/>
        <v>Don't Watch</v>
      </c>
      <c r="G240" t="str">
        <f t="shared" si="13"/>
        <v>Avg</v>
      </c>
      <c r="H240" t="str" cm="1">
        <f t="array" ref="H240">_xlfn.IFS(E240&gt;8,"Best",E240=7,"Good",E240&gt;7,"Good",E240&lt;7,"Avg",E240&lt;6,"Below Avg")</f>
        <v>Avg</v>
      </c>
      <c r="I240">
        <v>151</v>
      </c>
      <c r="K240" s="3">
        <v>39504105</v>
      </c>
      <c r="L240" s="3">
        <v>11221974</v>
      </c>
      <c r="M240" s="3">
        <f t="shared" si="14"/>
        <v>28282131</v>
      </c>
      <c r="O240" t="s">
        <v>2109</v>
      </c>
      <c r="P240" t="s">
        <v>4</v>
      </c>
      <c r="Q240" t="str">
        <f t="shared" si="15"/>
        <v>Adult</v>
      </c>
    </row>
    <row r="241" spans="1:17" x14ac:dyDescent="0.3">
      <c r="A241" t="s">
        <v>2110</v>
      </c>
      <c r="B241">
        <v>2026</v>
      </c>
      <c r="C241" s="5" t="s">
        <v>693</v>
      </c>
      <c r="D241" t="s">
        <v>39</v>
      </c>
      <c r="E241" s="4">
        <v>8.9</v>
      </c>
      <c r="F241" t="str">
        <f t="shared" si="12"/>
        <v>Watch</v>
      </c>
      <c r="G241" t="str">
        <f t="shared" si="13"/>
        <v>Best</v>
      </c>
      <c r="H241" t="str" cm="1">
        <f t="array" ref="H241">_xlfn.IFS(E241&gt;8,"Best",E241=7,"Good",E241&gt;7,"Good",E241&lt;7,"Avg",E241&lt;6,"Below Avg")</f>
        <v>Best</v>
      </c>
      <c r="I241">
        <v>137</v>
      </c>
      <c r="K241" s="3">
        <v>36904776</v>
      </c>
      <c r="L241" s="3">
        <v>27603184</v>
      </c>
      <c r="M241" s="3">
        <f t="shared" si="14"/>
        <v>9301592</v>
      </c>
      <c r="N241" t="s">
        <v>1248</v>
      </c>
      <c r="O241" t="s">
        <v>2111</v>
      </c>
      <c r="P241" t="s">
        <v>11</v>
      </c>
      <c r="Q241" t="str">
        <f t="shared" si="15"/>
        <v>Kid</v>
      </c>
    </row>
    <row r="242" spans="1:17" x14ac:dyDescent="0.3">
      <c r="A242" t="s">
        <v>2093</v>
      </c>
      <c r="B242">
        <v>2026</v>
      </c>
      <c r="C242" s="5" t="s">
        <v>693</v>
      </c>
      <c r="D242" t="s">
        <v>2</v>
      </c>
      <c r="E242" s="4">
        <v>9</v>
      </c>
      <c r="F242" t="str">
        <f t="shared" si="12"/>
        <v>Watch</v>
      </c>
      <c r="G242" t="str">
        <f t="shared" si="13"/>
        <v>Best</v>
      </c>
      <c r="H242" t="str" cm="1">
        <f t="array" ref="H242">_xlfn.IFS(E242&gt;8,"Best",E242=7,"Good",E242&gt;7,"Good",E242&lt;7,"Avg",E242&lt;6,"Below Avg")</f>
        <v>Best</v>
      </c>
      <c r="I242">
        <v>162</v>
      </c>
      <c r="K242" s="3">
        <v>43314835</v>
      </c>
      <c r="L242" s="3">
        <v>12068498</v>
      </c>
      <c r="M242" s="3">
        <f t="shared" si="14"/>
        <v>31246337</v>
      </c>
      <c r="N242" t="s">
        <v>2094</v>
      </c>
      <c r="O242" t="s">
        <v>2095</v>
      </c>
      <c r="P242" t="s">
        <v>4</v>
      </c>
      <c r="Q242" t="str">
        <f t="shared" si="15"/>
        <v>Adult</v>
      </c>
    </row>
    <row r="243" spans="1:17" x14ac:dyDescent="0.3">
      <c r="A243" t="s">
        <v>2096</v>
      </c>
      <c r="B243">
        <v>2026</v>
      </c>
      <c r="C243" s="5" t="s">
        <v>693</v>
      </c>
      <c r="D243" t="s">
        <v>8</v>
      </c>
      <c r="E243" s="4">
        <v>8</v>
      </c>
      <c r="F243" t="str">
        <f t="shared" si="12"/>
        <v>Watch</v>
      </c>
      <c r="G243" t="str">
        <f t="shared" si="13"/>
        <v>Good</v>
      </c>
      <c r="H243" t="str" cm="1">
        <f t="array" ref="H243">_xlfn.IFS(E243&gt;8,"Best",E243=7,"Good",E243&gt;7,"Good",E243&lt;7,"Avg",E243&lt;6,"Below Avg")</f>
        <v>Good</v>
      </c>
      <c r="I243">
        <v>104</v>
      </c>
      <c r="K243" s="3">
        <v>28295637</v>
      </c>
      <c r="L243" s="3">
        <v>21863758</v>
      </c>
      <c r="M243" s="3">
        <f t="shared" si="14"/>
        <v>6431879</v>
      </c>
      <c r="N243" t="s">
        <v>1712</v>
      </c>
      <c r="O243" t="s">
        <v>2097</v>
      </c>
      <c r="P243" t="s">
        <v>11</v>
      </c>
      <c r="Q243" t="str">
        <f t="shared" si="15"/>
        <v>Kid</v>
      </c>
    </row>
    <row r="244" spans="1:17" x14ac:dyDescent="0.3">
      <c r="A244" t="s">
        <v>2098</v>
      </c>
      <c r="B244">
        <v>2026</v>
      </c>
      <c r="C244" s="5" t="s">
        <v>693</v>
      </c>
      <c r="D244" t="s">
        <v>39</v>
      </c>
      <c r="E244" s="4">
        <v>8.5</v>
      </c>
      <c r="F244" t="str">
        <f t="shared" si="12"/>
        <v>Watch</v>
      </c>
      <c r="G244" t="str">
        <f t="shared" si="13"/>
        <v>Good</v>
      </c>
      <c r="H244" t="str" cm="1">
        <f t="array" ref="H244">_xlfn.IFS(E244&gt;8,"Best",E244=7,"Good",E244&gt;7,"Good",E244&lt;7,"Avg",E244&lt;6,"Below Avg")</f>
        <v>Best</v>
      </c>
      <c r="I244">
        <v>124</v>
      </c>
      <c r="K244" s="3">
        <v>28862247</v>
      </c>
      <c r="L244" s="3">
        <v>22241498</v>
      </c>
      <c r="M244" s="3">
        <f t="shared" si="14"/>
        <v>6620749</v>
      </c>
      <c r="O244" t="s">
        <v>2099</v>
      </c>
      <c r="P244" t="s">
        <v>11</v>
      </c>
      <c r="Q244" t="str">
        <f t="shared" si="15"/>
        <v>Kid</v>
      </c>
    </row>
    <row r="245" spans="1:17" x14ac:dyDescent="0.3">
      <c r="A245" t="s">
        <v>2100</v>
      </c>
      <c r="B245">
        <v>2026</v>
      </c>
      <c r="C245" s="5" t="s">
        <v>693</v>
      </c>
      <c r="D245" t="s">
        <v>8</v>
      </c>
      <c r="E245" s="4">
        <v>6.3</v>
      </c>
      <c r="F245" t="str">
        <f t="shared" si="12"/>
        <v>Don't Watch</v>
      </c>
      <c r="G245" t="str">
        <f t="shared" si="13"/>
        <v>Avg</v>
      </c>
      <c r="H245" t="str" cm="1">
        <f t="array" ref="H245">_xlfn.IFS(E245&gt;8,"Best",E245=7,"Good",E245&gt;7,"Good",E245&lt;7,"Avg",E245&lt;6,"Below Avg")</f>
        <v>Avg</v>
      </c>
      <c r="I245">
        <v>159</v>
      </c>
      <c r="K245" s="3">
        <v>26479152</v>
      </c>
      <c r="L245" s="3">
        <v>20652768</v>
      </c>
      <c r="M245" s="3">
        <f t="shared" si="14"/>
        <v>5826384</v>
      </c>
      <c r="N245" t="s">
        <v>2101</v>
      </c>
      <c r="O245" t="s">
        <v>1373</v>
      </c>
      <c r="P245" t="s">
        <v>11</v>
      </c>
      <c r="Q245" t="str">
        <f t="shared" si="15"/>
        <v>Kid</v>
      </c>
    </row>
    <row r="246" spans="1:17" x14ac:dyDescent="0.3">
      <c r="A246" t="s">
        <v>2102</v>
      </c>
      <c r="B246">
        <v>2026</v>
      </c>
      <c r="C246" s="5" t="s">
        <v>693</v>
      </c>
      <c r="D246" t="s">
        <v>61</v>
      </c>
      <c r="E246" s="4">
        <v>7.9</v>
      </c>
      <c r="F246" t="str">
        <f t="shared" si="12"/>
        <v>Watch</v>
      </c>
      <c r="G246" t="str">
        <f t="shared" si="13"/>
        <v>Good</v>
      </c>
      <c r="H246" t="str" cm="1">
        <f t="array" ref="H246">_xlfn.IFS(E246&gt;8,"Best",E246=7,"Good",E246&gt;7,"Good",E246&lt;7,"Avg",E246&lt;6,"Below Avg")</f>
        <v>Good</v>
      </c>
      <c r="I246">
        <v>103</v>
      </c>
      <c r="K246" s="3">
        <v>28292304</v>
      </c>
      <c r="L246" s="3">
        <v>21861536</v>
      </c>
      <c r="M246" s="3">
        <f t="shared" si="14"/>
        <v>6430768</v>
      </c>
      <c r="N246" t="s">
        <v>2103</v>
      </c>
      <c r="O246" t="s">
        <v>187</v>
      </c>
      <c r="P246" t="s">
        <v>11</v>
      </c>
      <c r="Q246" t="str">
        <f t="shared" si="15"/>
        <v>Kid</v>
      </c>
    </row>
    <row r="247" spans="1:17" x14ac:dyDescent="0.3">
      <c r="A247" t="s">
        <v>2106</v>
      </c>
      <c r="B247">
        <v>2026</v>
      </c>
      <c r="C247" s="5" t="s">
        <v>693</v>
      </c>
      <c r="D247" t="s">
        <v>2</v>
      </c>
      <c r="E247" s="4">
        <v>7.9</v>
      </c>
      <c r="F247" t="str">
        <f t="shared" si="12"/>
        <v>Watch</v>
      </c>
      <c r="G247" t="str">
        <f t="shared" si="13"/>
        <v>Good</v>
      </c>
      <c r="H247" t="str" cm="1">
        <f t="array" ref="H247">_xlfn.IFS(E247&gt;8,"Best",E247=7,"Good",E247&gt;7,"Good",E247&lt;7,"Avg",E247&lt;6,"Below Avg")</f>
        <v>Good</v>
      </c>
      <c r="I247">
        <v>91</v>
      </c>
      <c r="K247" s="3">
        <v>44170305</v>
      </c>
      <c r="L247" s="3">
        <v>12258534</v>
      </c>
      <c r="M247" s="3">
        <f t="shared" si="14"/>
        <v>31911771</v>
      </c>
      <c r="N247" t="s">
        <v>314</v>
      </c>
      <c r="O247" t="s">
        <v>2107</v>
      </c>
      <c r="P247" t="s">
        <v>4</v>
      </c>
      <c r="Q247" t="str">
        <f t="shared" si="15"/>
        <v>Adult</v>
      </c>
    </row>
    <row r="248" spans="1:17" x14ac:dyDescent="0.3">
      <c r="A248" t="s">
        <v>2112</v>
      </c>
      <c r="B248">
        <v>2026</v>
      </c>
      <c r="C248" s="5" t="s">
        <v>693</v>
      </c>
      <c r="D248" t="s">
        <v>27</v>
      </c>
      <c r="E248" s="4">
        <v>8.1999999999999993</v>
      </c>
      <c r="F248" t="str">
        <f t="shared" si="12"/>
        <v>Watch</v>
      </c>
      <c r="G248" t="str">
        <f t="shared" si="13"/>
        <v>Good</v>
      </c>
      <c r="H248" t="str" cm="1">
        <f t="array" ref="H248">_xlfn.IFS(E248&gt;8,"Best",E248=7,"Good",E248&gt;7,"Good",E248&lt;7,"Avg",E248&lt;6,"Below Avg")</f>
        <v>Best</v>
      </c>
      <c r="I248">
        <v>130</v>
      </c>
      <c r="K248" s="3">
        <v>31381995</v>
      </c>
      <c r="L248" s="3">
        <v>23921330</v>
      </c>
      <c r="M248" s="3">
        <f t="shared" si="14"/>
        <v>7460665</v>
      </c>
      <c r="N248" t="s">
        <v>594</v>
      </c>
      <c r="O248" t="s">
        <v>2113</v>
      </c>
      <c r="P248" t="s">
        <v>11</v>
      </c>
      <c r="Q248" t="str">
        <f t="shared" si="15"/>
        <v>Kid</v>
      </c>
    </row>
    <row r="249" spans="1:17" x14ac:dyDescent="0.3">
      <c r="A249" t="s">
        <v>2114</v>
      </c>
      <c r="B249">
        <v>2026</v>
      </c>
      <c r="C249" s="5" t="s">
        <v>693</v>
      </c>
      <c r="D249" t="s">
        <v>93</v>
      </c>
      <c r="E249" s="4">
        <v>7.2</v>
      </c>
      <c r="F249" t="str">
        <f t="shared" si="12"/>
        <v>Watch</v>
      </c>
      <c r="G249" t="str">
        <f t="shared" si="13"/>
        <v>Good</v>
      </c>
      <c r="H249" t="str" cm="1">
        <f t="array" ref="H249">_xlfn.IFS(E249&gt;8,"Best",E249=7,"Good",E249&gt;7,"Good",E249&lt;7,"Avg",E249&lt;6,"Below Avg")</f>
        <v>Good</v>
      </c>
      <c r="I249">
        <v>93</v>
      </c>
      <c r="K249" s="3">
        <v>26509149</v>
      </c>
      <c r="L249" s="3">
        <v>20672766</v>
      </c>
      <c r="M249" s="3">
        <f t="shared" si="14"/>
        <v>5836383</v>
      </c>
      <c r="N249" t="s">
        <v>2115</v>
      </c>
      <c r="O249" t="s">
        <v>2116</v>
      </c>
      <c r="P249" t="s">
        <v>11</v>
      </c>
      <c r="Q249" t="str">
        <f t="shared" si="15"/>
        <v>Kid</v>
      </c>
    </row>
    <row r="250" spans="1:17" x14ac:dyDescent="0.3">
      <c r="A250" t="s">
        <v>2117</v>
      </c>
      <c r="B250">
        <v>2026</v>
      </c>
      <c r="C250" s="5" t="s">
        <v>693</v>
      </c>
      <c r="D250" t="s">
        <v>8</v>
      </c>
      <c r="E250" s="4">
        <v>8.1</v>
      </c>
      <c r="F250" t="str">
        <f t="shared" si="12"/>
        <v>Watch</v>
      </c>
      <c r="G250" t="str">
        <f t="shared" si="13"/>
        <v>Good</v>
      </c>
      <c r="H250" t="str" cm="1">
        <f t="array" ref="H250">_xlfn.IFS(E250&gt;8,"Best",E250=7,"Good",E250&gt;7,"Good",E250&lt;7,"Avg",E250&lt;6,"Below Avg")</f>
        <v>Best</v>
      </c>
      <c r="I250">
        <v>99</v>
      </c>
      <c r="K250" s="3">
        <v>27529047</v>
      </c>
      <c r="L250" s="3">
        <v>21352698</v>
      </c>
      <c r="M250" s="3">
        <f t="shared" si="14"/>
        <v>6176349</v>
      </c>
      <c r="N250" t="s">
        <v>2118</v>
      </c>
      <c r="O250" t="s">
        <v>2119</v>
      </c>
      <c r="P250" t="s">
        <v>11</v>
      </c>
      <c r="Q250" t="str">
        <f t="shared" si="15"/>
        <v>Kid</v>
      </c>
    </row>
    <row r="251" spans="1:17" x14ac:dyDescent="0.3">
      <c r="A251" t="s">
        <v>2120</v>
      </c>
      <c r="B251">
        <v>2026</v>
      </c>
      <c r="C251" s="5" t="s">
        <v>693</v>
      </c>
      <c r="D251" t="s">
        <v>93</v>
      </c>
      <c r="E251" s="4">
        <v>7.2</v>
      </c>
      <c r="F251" t="str">
        <f t="shared" si="12"/>
        <v>Watch</v>
      </c>
      <c r="G251" t="str">
        <f t="shared" si="13"/>
        <v>Good</v>
      </c>
      <c r="H251" t="str" cm="1">
        <f t="array" ref="H251">_xlfn.IFS(E251&gt;8,"Best",E251=7,"Good",E251&gt;7,"Good",E251&lt;7,"Avg",E251&lt;6,"Below Avg")</f>
        <v>Good</v>
      </c>
      <c r="I251">
        <v>135</v>
      </c>
      <c r="K251" s="3">
        <v>26399160</v>
      </c>
      <c r="L251" s="3">
        <v>20599440</v>
      </c>
      <c r="M251" s="3">
        <f t="shared" si="14"/>
        <v>5799720</v>
      </c>
      <c r="N251" t="s">
        <v>2121</v>
      </c>
      <c r="O251" t="s">
        <v>753</v>
      </c>
      <c r="P251" t="s">
        <v>11</v>
      </c>
      <c r="Q251" t="str">
        <f t="shared" si="15"/>
        <v>Kid</v>
      </c>
    </row>
    <row r="252" spans="1:17" x14ac:dyDescent="0.3">
      <c r="A252" t="s">
        <v>2122</v>
      </c>
      <c r="B252">
        <v>2026</v>
      </c>
      <c r="C252" s="5" t="s">
        <v>693</v>
      </c>
      <c r="D252" t="s">
        <v>8</v>
      </c>
      <c r="E252" s="4">
        <v>7.9</v>
      </c>
      <c r="F252" t="str">
        <f t="shared" si="12"/>
        <v>Watch</v>
      </c>
      <c r="G252" t="str">
        <f t="shared" si="13"/>
        <v>Good</v>
      </c>
      <c r="H252" t="str" cm="1">
        <f t="array" ref="H252">_xlfn.IFS(E252&gt;8,"Best",E252=7,"Good",E252&gt;7,"Good",E252&lt;7,"Avg",E252&lt;6,"Below Avg")</f>
        <v>Good</v>
      </c>
      <c r="I252">
        <v>145</v>
      </c>
      <c r="K252" s="3">
        <v>33681765</v>
      </c>
      <c r="L252" s="3">
        <v>25454510</v>
      </c>
      <c r="M252" s="3">
        <f t="shared" si="14"/>
        <v>8227255</v>
      </c>
      <c r="N252" t="s">
        <v>2123</v>
      </c>
      <c r="O252" t="s">
        <v>2124</v>
      </c>
      <c r="P252" t="s">
        <v>11</v>
      </c>
      <c r="Q252" t="str">
        <f t="shared" si="15"/>
        <v>Kid</v>
      </c>
    </row>
    <row r="253" spans="1:17" x14ac:dyDescent="0.3">
      <c r="A253" t="s">
        <v>2125</v>
      </c>
      <c r="B253">
        <v>2026</v>
      </c>
      <c r="C253" s="5" t="s">
        <v>693</v>
      </c>
      <c r="D253" t="s">
        <v>39</v>
      </c>
      <c r="E253" s="4">
        <v>7.5</v>
      </c>
      <c r="F253" t="str">
        <f t="shared" si="12"/>
        <v>Watch</v>
      </c>
      <c r="G253" t="str">
        <f t="shared" si="13"/>
        <v>Good</v>
      </c>
      <c r="H253" t="str" cm="1">
        <f t="array" ref="H253">_xlfn.IFS(E253&gt;8,"Best",E253=7,"Good",E253&gt;7,"Good",E253&lt;7,"Avg",E253&lt;6,"Below Avg")</f>
        <v>Good</v>
      </c>
      <c r="I253">
        <v>144</v>
      </c>
      <c r="K253" s="3">
        <v>27179082</v>
      </c>
      <c r="L253" s="3">
        <v>21119388</v>
      </c>
      <c r="M253" s="3">
        <f t="shared" si="14"/>
        <v>6059694</v>
      </c>
      <c r="N253" t="s">
        <v>324</v>
      </c>
      <c r="O253" t="s">
        <v>187</v>
      </c>
      <c r="P253" t="s">
        <v>11</v>
      </c>
      <c r="Q253" t="str">
        <f t="shared" si="15"/>
        <v>Kid</v>
      </c>
    </row>
    <row r="254" spans="1:17" x14ac:dyDescent="0.3">
      <c r="A254" t="s">
        <v>2047</v>
      </c>
      <c r="B254">
        <v>2026</v>
      </c>
      <c r="C254" s="5" t="s">
        <v>640</v>
      </c>
      <c r="D254" t="s">
        <v>27</v>
      </c>
      <c r="E254" s="4">
        <v>7.3</v>
      </c>
      <c r="F254" t="str">
        <f t="shared" si="12"/>
        <v>Watch</v>
      </c>
      <c r="G254" t="str">
        <f t="shared" si="13"/>
        <v>Good</v>
      </c>
      <c r="H254" t="str" cm="1">
        <f t="array" ref="H254">_xlfn.IFS(E254&gt;8,"Best",E254=7,"Good",E254&gt;7,"Good",E254&lt;7,"Avg",E254&lt;6,"Below Avg")</f>
        <v>Good</v>
      </c>
      <c r="I254">
        <v>160</v>
      </c>
      <c r="K254" s="3">
        <v>26732460</v>
      </c>
      <c r="L254" s="3">
        <v>20821640</v>
      </c>
      <c r="M254" s="3">
        <f t="shared" si="14"/>
        <v>5910820</v>
      </c>
      <c r="O254" t="s">
        <v>2048</v>
      </c>
      <c r="P254" t="s">
        <v>11</v>
      </c>
      <c r="Q254" t="str">
        <f t="shared" si="15"/>
        <v>Kid</v>
      </c>
    </row>
    <row r="255" spans="1:17" x14ac:dyDescent="0.3">
      <c r="A255" t="s">
        <v>2059</v>
      </c>
      <c r="B255">
        <v>2026</v>
      </c>
      <c r="C255" s="5" t="s">
        <v>640</v>
      </c>
      <c r="D255" t="s">
        <v>27</v>
      </c>
      <c r="E255" s="4">
        <v>8.5</v>
      </c>
      <c r="F255" t="str">
        <f t="shared" si="12"/>
        <v>Watch</v>
      </c>
      <c r="G255" t="str">
        <f t="shared" si="13"/>
        <v>Good</v>
      </c>
      <c r="H255" t="str" cm="1">
        <f t="array" ref="H255">_xlfn.IFS(E255&gt;8,"Best",E255=7,"Good",E255&gt;7,"Good",E255&lt;7,"Avg",E255&lt;6,"Below Avg")</f>
        <v>Best</v>
      </c>
      <c r="I255">
        <v>121</v>
      </c>
      <c r="K255" s="3">
        <v>29852148</v>
      </c>
      <c r="L255" s="3">
        <v>22901432</v>
      </c>
      <c r="M255" s="3">
        <f t="shared" si="14"/>
        <v>6950716</v>
      </c>
      <c r="N255" t="s">
        <v>814</v>
      </c>
      <c r="O255" t="s">
        <v>2060</v>
      </c>
      <c r="P255" t="s">
        <v>11</v>
      </c>
      <c r="Q255" t="str">
        <f t="shared" si="15"/>
        <v>Kid</v>
      </c>
    </row>
    <row r="256" spans="1:17" x14ac:dyDescent="0.3">
      <c r="A256" t="s">
        <v>2071</v>
      </c>
      <c r="B256">
        <v>2026</v>
      </c>
      <c r="C256" s="5" t="s">
        <v>640</v>
      </c>
      <c r="D256" t="s">
        <v>8</v>
      </c>
      <c r="E256" s="4">
        <v>6.3</v>
      </c>
      <c r="F256" t="str">
        <f t="shared" si="12"/>
        <v>Don't Watch</v>
      </c>
      <c r="G256" t="str">
        <f t="shared" si="13"/>
        <v>Avg</v>
      </c>
      <c r="H256" t="str" cm="1">
        <f t="array" ref="H256">_xlfn.IFS(E256&gt;8,"Best",E256=7,"Good",E256&gt;7,"Good",E256&lt;7,"Avg",E256&lt;6,"Below Avg")</f>
        <v>Avg</v>
      </c>
      <c r="I256">
        <v>117</v>
      </c>
      <c r="K256" s="3">
        <v>29338866</v>
      </c>
      <c r="L256" s="3">
        <v>22559244</v>
      </c>
      <c r="M256" s="3">
        <f t="shared" si="14"/>
        <v>6779622</v>
      </c>
      <c r="N256" t="s">
        <v>2072</v>
      </c>
      <c r="O256" t="s">
        <v>2073</v>
      </c>
      <c r="P256" t="s">
        <v>11</v>
      </c>
      <c r="Q256" t="str">
        <f t="shared" si="15"/>
        <v>Kid</v>
      </c>
    </row>
    <row r="257" spans="1:17" x14ac:dyDescent="0.3">
      <c r="A257" t="s">
        <v>2078</v>
      </c>
      <c r="B257">
        <v>2026</v>
      </c>
      <c r="C257" s="5" t="s">
        <v>640</v>
      </c>
      <c r="D257" t="s">
        <v>116</v>
      </c>
      <c r="E257" s="4">
        <v>7.3</v>
      </c>
      <c r="F257" t="str">
        <f t="shared" si="12"/>
        <v>Watch</v>
      </c>
      <c r="G257" t="str">
        <f t="shared" si="13"/>
        <v>Good</v>
      </c>
      <c r="H257" t="str" cm="1">
        <f t="array" ref="H257">_xlfn.IFS(E257&gt;8,"Best",E257=7,"Good",E257&gt;7,"Good",E257&lt;7,"Avg",E257&lt;6,"Below Avg")</f>
        <v>Good</v>
      </c>
      <c r="I257">
        <v>133</v>
      </c>
      <c r="K257" s="3">
        <v>27392394</v>
      </c>
      <c r="L257" s="3">
        <v>21261596</v>
      </c>
      <c r="M257" s="3">
        <f t="shared" si="14"/>
        <v>6130798</v>
      </c>
      <c r="N257" t="s">
        <v>2079</v>
      </c>
      <c r="O257" t="s">
        <v>2080</v>
      </c>
      <c r="P257" t="s">
        <v>11</v>
      </c>
      <c r="Q257" t="str">
        <f t="shared" si="15"/>
        <v>Kid</v>
      </c>
    </row>
    <row r="258" spans="1:17" x14ac:dyDescent="0.3">
      <c r="A258" t="s">
        <v>2088</v>
      </c>
      <c r="B258">
        <v>2026</v>
      </c>
      <c r="C258" s="5" t="s">
        <v>640</v>
      </c>
      <c r="D258" t="s">
        <v>8</v>
      </c>
      <c r="E258" s="4">
        <v>6.7</v>
      </c>
      <c r="F258" t="str">
        <f t="shared" ref="F258:F321" si="16">IF(E258&gt;6.5,"Watch","Don't Watch")</f>
        <v>Watch</v>
      </c>
      <c r="G258" t="str">
        <f t="shared" ref="G258:G321" si="17">IF(E258&gt;8.5,"Best",IF(E258&gt;7,"Good",IF(E258&gt;5,"Avg",IF(E258&lt;5,"Below Avg",IF(E258&lt;3,"Bad",)))))</f>
        <v>Avg</v>
      </c>
      <c r="H258" t="str" cm="1">
        <f t="array" ref="H258">_xlfn.IFS(E258&gt;8,"Best",E258=7,"Good",E258&gt;7,"Good",E258&lt;7,"Avg",E258&lt;6,"Below Avg")</f>
        <v>Avg</v>
      </c>
      <c r="I258">
        <v>94</v>
      </c>
      <c r="K258" s="3">
        <v>32761857</v>
      </c>
      <c r="L258" s="3">
        <v>24841238</v>
      </c>
      <c r="M258" s="3">
        <f t="shared" ref="M258:M321" si="18" xml:space="preserve"> (K258-L258)</f>
        <v>7920619</v>
      </c>
      <c r="N258" t="s">
        <v>1569</v>
      </c>
      <c r="O258" t="s">
        <v>332</v>
      </c>
      <c r="P258" t="s">
        <v>11</v>
      </c>
      <c r="Q258" t="str">
        <f t="shared" ref="Q258:Q321" si="19">IF(P258="R","Adult","Kid")</f>
        <v>Kid</v>
      </c>
    </row>
    <row r="259" spans="1:17" x14ac:dyDescent="0.3">
      <c r="A259" t="s">
        <v>2049</v>
      </c>
      <c r="B259">
        <v>2026</v>
      </c>
      <c r="C259" s="5" t="s">
        <v>640</v>
      </c>
      <c r="D259" t="s">
        <v>39</v>
      </c>
      <c r="E259" s="4">
        <v>8.9</v>
      </c>
      <c r="F259" t="str">
        <f t="shared" si="16"/>
        <v>Watch</v>
      </c>
      <c r="G259" t="str">
        <f t="shared" si="17"/>
        <v>Best</v>
      </c>
      <c r="H259" t="str" cm="1">
        <f t="array" ref="H259">_xlfn.IFS(E259&gt;8,"Best",E259=7,"Good",E259&gt;7,"Good",E259&lt;7,"Avg",E259&lt;6,"Below Avg")</f>
        <v>Best</v>
      </c>
      <c r="I259">
        <v>134</v>
      </c>
      <c r="K259" s="3">
        <v>26895777</v>
      </c>
      <c r="L259" s="3">
        <v>20930518</v>
      </c>
      <c r="M259" s="3">
        <f t="shared" si="18"/>
        <v>5965259</v>
      </c>
      <c r="N259" t="s">
        <v>2050</v>
      </c>
      <c r="O259" t="s">
        <v>2051</v>
      </c>
      <c r="P259" t="s">
        <v>11</v>
      </c>
      <c r="Q259" t="str">
        <f t="shared" si="19"/>
        <v>Kid</v>
      </c>
    </row>
    <row r="260" spans="1:17" x14ac:dyDescent="0.3">
      <c r="A260" t="s">
        <v>2052</v>
      </c>
      <c r="B260">
        <v>2026</v>
      </c>
      <c r="C260" s="5" t="s">
        <v>640</v>
      </c>
      <c r="D260" t="s">
        <v>8</v>
      </c>
      <c r="E260" s="4">
        <v>8.9</v>
      </c>
      <c r="F260" t="str">
        <f t="shared" si="16"/>
        <v>Watch</v>
      </c>
      <c r="G260" t="str">
        <f t="shared" si="17"/>
        <v>Best</v>
      </c>
      <c r="H260" t="str" cm="1">
        <f t="array" ref="H260">_xlfn.IFS(E260&gt;8,"Best",E260=7,"Good",E260&gt;7,"Good",E260&lt;7,"Avg",E260&lt;6,"Below Avg")</f>
        <v>Best</v>
      </c>
      <c r="I260">
        <v>164</v>
      </c>
      <c r="K260" s="3">
        <v>30745392</v>
      </c>
      <c r="L260" s="3">
        <v>23496928</v>
      </c>
      <c r="M260" s="3">
        <f t="shared" si="18"/>
        <v>7248464</v>
      </c>
      <c r="N260" t="s">
        <v>2053</v>
      </c>
      <c r="O260" t="s">
        <v>1100</v>
      </c>
      <c r="P260" t="s">
        <v>11</v>
      </c>
      <c r="Q260" t="str">
        <f t="shared" si="19"/>
        <v>Kid</v>
      </c>
    </row>
    <row r="261" spans="1:17" x14ac:dyDescent="0.3">
      <c r="A261" t="s">
        <v>2054</v>
      </c>
      <c r="B261">
        <v>2026</v>
      </c>
      <c r="C261" s="5" t="s">
        <v>640</v>
      </c>
      <c r="D261" t="s">
        <v>27</v>
      </c>
      <c r="E261" s="4">
        <v>8.3000000000000007</v>
      </c>
      <c r="F261" t="str">
        <f t="shared" si="16"/>
        <v>Watch</v>
      </c>
      <c r="G261" t="str">
        <f t="shared" si="17"/>
        <v>Good</v>
      </c>
      <c r="H261" t="str" cm="1">
        <f t="array" ref="H261">_xlfn.IFS(E261&gt;8,"Best",E261=7,"Good",E261&gt;7,"Good",E261&lt;7,"Avg",E261&lt;6,"Below Avg")</f>
        <v>Best</v>
      </c>
      <c r="I261">
        <v>101</v>
      </c>
      <c r="K261" s="3">
        <v>27535713</v>
      </c>
      <c r="L261" s="3">
        <v>21357142</v>
      </c>
      <c r="M261" s="3">
        <f t="shared" si="18"/>
        <v>6178571</v>
      </c>
      <c r="N261" t="s">
        <v>2055</v>
      </c>
      <c r="O261" t="s">
        <v>2056</v>
      </c>
      <c r="P261" t="s">
        <v>11</v>
      </c>
      <c r="Q261" t="str">
        <f t="shared" si="19"/>
        <v>Kid</v>
      </c>
    </row>
    <row r="262" spans="1:17" x14ac:dyDescent="0.3">
      <c r="A262" t="s">
        <v>2057</v>
      </c>
      <c r="B262">
        <v>2026</v>
      </c>
      <c r="C262" s="5" t="s">
        <v>640</v>
      </c>
      <c r="D262" t="s">
        <v>8</v>
      </c>
      <c r="E262" s="4">
        <v>6</v>
      </c>
      <c r="F262" t="str">
        <f t="shared" si="16"/>
        <v>Don't Watch</v>
      </c>
      <c r="G262" t="str">
        <f t="shared" si="17"/>
        <v>Avg</v>
      </c>
      <c r="H262" t="str" cm="1">
        <f t="array" ref="H262">_xlfn.IFS(E262&gt;8,"Best",E262=7,"Good",E262&gt;7,"Good",E262&lt;7,"Avg",E262&lt;6,"Below Avg")</f>
        <v>Avg</v>
      </c>
      <c r="I262">
        <v>129</v>
      </c>
      <c r="K262" s="3">
        <v>27129087</v>
      </c>
      <c r="L262" s="3">
        <v>21086058</v>
      </c>
      <c r="M262" s="3">
        <f t="shared" si="18"/>
        <v>6043029</v>
      </c>
      <c r="N262" t="s">
        <v>2058</v>
      </c>
      <c r="O262" t="s">
        <v>332</v>
      </c>
      <c r="P262" t="s">
        <v>11</v>
      </c>
      <c r="Q262" t="str">
        <f t="shared" si="19"/>
        <v>Kid</v>
      </c>
    </row>
    <row r="263" spans="1:17" x14ac:dyDescent="0.3">
      <c r="A263" t="s">
        <v>2061</v>
      </c>
      <c r="B263">
        <v>2026</v>
      </c>
      <c r="C263" s="5" t="s">
        <v>640</v>
      </c>
      <c r="D263" t="s">
        <v>2</v>
      </c>
      <c r="E263" s="4">
        <v>9</v>
      </c>
      <c r="F263" t="str">
        <f t="shared" si="16"/>
        <v>Watch</v>
      </c>
      <c r="G263" t="str">
        <f t="shared" si="17"/>
        <v>Best</v>
      </c>
      <c r="H263" t="str" cm="1">
        <f t="array" ref="H263">_xlfn.IFS(E263&gt;8,"Best",E263=7,"Good",E263&gt;7,"Good",E263&lt;7,"Avg",E263&lt;6,"Below Avg")</f>
        <v>Best</v>
      </c>
      <c r="I263">
        <v>114</v>
      </c>
      <c r="K263" s="3">
        <v>42214945</v>
      </c>
      <c r="L263" s="3">
        <v>11824166</v>
      </c>
      <c r="M263" s="3">
        <f t="shared" si="18"/>
        <v>30390779</v>
      </c>
      <c r="N263" t="s">
        <v>2062</v>
      </c>
      <c r="O263" t="s">
        <v>2063</v>
      </c>
      <c r="P263" t="s">
        <v>4</v>
      </c>
      <c r="Q263" t="str">
        <f t="shared" si="19"/>
        <v>Adult</v>
      </c>
    </row>
    <row r="264" spans="1:17" x14ac:dyDescent="0.3">
      <c r="A264" t="s">
        <v>2064</v>
      </c>
      <c r="B264">
        <v>2026</v>
      </c>
      <c r="C264" s="5" t="s">
        <v>640</v>
      </c>
      <c r="D264" t="s">
        <v>2</v>
      </c>
      <c r="E264" s="4">
        <v>8.1999999999999993</v>
      </c>
      <c r="F264" t="str">
        <f t="shared" si="16"/>
        <v>Watch</v>
      </c>
      <c r="G264" t="str">
        <f t="shared" si="17"/>
        <v>Good</v>
      </c>
      <c r="H264" t="str" cm="1">
        <f t="array" ref="H264">_xlfn.IFS(E264&gt;8,"Best",E264=7,"Good",E264&gt;7,"Good",E264&lt;7,"Avg",E264&lt;6,"Below Avg")</f>
        <v>Best</v>
      </c>
      <c r="I264">
        <v>151</v>
      </c>
      <c r="K264" s="3">
        <v>40337355</v>
      </c>
      <c r="L264" s="3">
        <v>11407074</v>
      </c>
      <c r="M264" s="3">
        <f t="shared" si="18"/>
        <v>28930281</v>
      </c>
      <c r="N264" t="s">
        <v>2065</v>
      </c>
      <c r="O264" t="s">
        <v>2066</v>
      </c>
      <c r="P264" t="s">
        <v>4</v>
      </c>
      <c r="Q264" t="str">
        <f t="shared" si="19"/>
        <v>Adult</v>
      </c>
    </row>
    <row r="265" spans="1:17" x14ac:dyDescent="0.3">
      <c r="A265" t="s">
        <v>2067</v>
      </c>
      <c r="B265">
        <v>2026</v>
      </c>
      <c r="C265" s="5" t="s">
        <v>640</v>
      </c>
      <c r="D265" t="s">
        <v>8</v>
      </c>
      <c r="E265" s="4">
        <v>6.9</v>
      </c>
      <c r="F265" t="str">
        <f t="shared" si="16"/>
        <v>Watch</v>
      </c>
      <c r="G265" t="str">
        <f t="shared" si="17"/>
        <v>Avg</v>
      </c>
      <c r="H265" t="str" cm="1">
        <f t="array" ref="H265">_xlfn.IFS(E265&gt;8,"Best",E265=7,"Good",E265&gt;7,"Good",E265&lt;7,"Avg",E265&lt;6,"Below Avg")</f>
        <v>Avg</v>
      </c>
      <c r="I265">
        <v>111</v>
      </c>
      <c r="K265" s="3">
        <v>30568743</v>
      </c>
      <c r="L265" s="3">
        <v>23379162</v>
      </c>
      <c r="M265" s="3">
        <f t="shared" si="18"/>
        <v>7189581</v>
      </c>
      <c r="N265" t="s">
        <v>2068</v>
      </c>
      <c r="O265" t="s">
        <v>2069</v>
      </c>
      <c r="P265" t="s">
        <v>11</v>
      </c>
      <c r="Q265" t="str">
        <f t="shared" si="19"/>
        <v>Kid</v>
      </c>
    </row>
    <row r="266" spans="1:17" x14ac:dyDescent="0.3">
      <c r="A266" t="s">
        <v>2070</v>
      </c>
      <c r="B266">
        <v>2026</v>
      </c>
      <c r="C266" s="5" t="s">
        <v>640</v>
      </c>
      <c r="D266" t="s">
        <v>39</v>
      </c>
      <c r="E266" s="4">
        <v>8.1</v>
      </c>
      <c r="F266" t="str">
        <f t="shared" si="16"/>
        <v>Watch</v>
      </c>
      <c r="G266" t="str">
        <f t="shared" si="17"/>
        <v>Good</v>
      </c>
      <c r="H266" t="str" cm="1">
        <f t="array" ref="H266">_xlfn.IFS(E266&gt;8,"Best",E266=7,"Good",E266&gt;7,"Good",E266&lt;7,"Avg",E266&lt;6,"Below Avg")</f>
        <v>Best</v>
      </c>
      <c r="I266">
        <v>156</v>
      </c>
      <c r="K266" s="3">
        <v>30718728</v>
      </c>
      <c r="L266" s="3">
        <v>23479152</v>
      </c>
      <c r="M266" s="3">
        <f t="shared" si="18"/>
        <v>7239576</v>
      </c>
      <c r="N266" t="s">
        <v>267</v>
      </c>
      <c r="O266" t="s">
        <v>187</v>
      </c>
      <c r="P266" t="s">
        <v>11</v>
      </c>
      <c r="Q266" t="str">
        <f t="shared" si="19"/>
        <v>Kid</v>
      </c>
    </row>
    <row r="267" spans="1:17" x14ac:dyDescent="0.3">
      <c r="A267" t="s">
        <v>2074</v>
      </c>
      <c r="B267">
        <v>2026</v>
      </c>
      <c r="C267" s="5" t="s">
        <v>640</v>
      </c>
      <c r="D267" t="s">
        <v>8</v>
      </c>
      <c r="E267" s="4">
        <v>6.1</v>
      </c>
      <c r="F267" t="str">
        <f t="shared" si="16"/>
        <v>Don't Watch</v>
      </c>
      <c r="G267" t="str">
        <f t="shared" si="17"/>
        <v>Avg</v>
      </c>
      <c r="H267" t="str" cm="1">
        <f t="array" ref="H267">_xlfn.IFS(E267&gt;8,"Best",E267=7,"Good",E267&gt;7,"Good",E267&lt;7,"Avg",E267&lt;6,"Below Avg")</f>
        <v>Avg</v>
      </c>
      <c r="I267">
        <v>103</v>
      </c>
      <c r="K267" s="3">
        <v>27792354</v>
      </c>
      <c r="L267" s="3">
        <v>21528236</v>
      </c>
      <c r="M267" s="3">
        <f t="shared" si="18"/>
        <v>6264118</v>
      </c>
      <c r="O267" t="s">
        <v>2075</v>
      </c>
      <c r="P267" t="s">
        <v>11</v>
      </c>
      <c r="Q267" t="str">
        <f t="shared" si="19"/>
        <v>Kid</v>
      </c>
    </row>
    <row r="268" spans="1:17" x14ac:dyDescent="0.3">
      <c r="A268" t="s">
        <v>2076</v>
      </c>
      <c r="B268">
        <v>2026</v>
      </c>
      <c r="C268" s="5" t="s">
        <v>640</v>
      </c>
      <c r="D268" t="s">
        <v>8</v>
      </c>
      <c r="E268" s="4">
        <v>7.5</v>
      </c>
      <c r="F268" t="str">
        <f t="shared" si="16"/>
        <v>Watch</v>
      </c>
      <c r="G268" t="str">
        <f t="shared" si="17"/>
        <v>Good</v>
      </c>
      <c r="H268" t="str" cm="1">
        <f t="array" ref="H268">_xlfn.IFS(E268&gt;8,"Best",E268=7,"Good",E268&gt;7,"Good",E268&lt;7,"Avg",E268&lt;6,"Below Avg")</f>
        <v>Good</v>
      </c>
      <c r="I268">
        <v>114</v>
      </c>
      <c r="K268" s="3">
        <v>31578642</v>
      </c>
      <c r="L268" s="3">
        <v>24052428</v>
      </c>
      <c r="M268" s="3">
        <f t="shared" si="18"/>
        <v>7526214</v>
      </c>
      <c r="N268" t="s">
        <v>2077</v>
      </c>
      <c r="O268" t="s">
        <v>149</v>
      </c>
      <c r="P268" t="s">
        <v>11</v>
      </c>
      <c r="Q268" t="str">
        <f t="shared" si="19"/>
        <v>Kid</v>
      </c>
    </row>
    <row r="269" spans="1:17" x14ac:dyDescent="0.3">
      <c r="A269" t="s">
        <v>2081</v>
      </c>
      <c r="B269">
        <v>2026</v>
      </c>
      <c r="C269" s="5" t="s">
        <v>640</v>
      </c>
      <c r="D269" t="s">
        <v>8</v>
      </c>
      <c r="E269" s="4">
        <v>8</v>
      </c>
      <c r="F269" t="str">
        <f t="shared" si="16"/>
        <v>Watch</v>
      </c>
      <c r="G269" t="str">
        <f t="shared" si="17"/>
        <v>Good</v>
      </c>
      <c r="H269" t="str" cm="1">
        <f t="array" ref="H269">_xlfn.IFS(E269&gt;8,"Best",E269=7,"Good",E269&gt;7,"Good",E269&lt;7,"Avg",E269&lt;6,"Below Avg")</f>
        <v>Good</v>
      </c>
      <c r="I269">
        <v>116</v>
      </c>
      <c r="K269" s="3">
        <v>29835483</v>
      </c>
      <c r="L269" s="3">
        <v>22890322</v>
      </c>
      <c r="M269" s="3">
        <f t="shared" si="18"/>
        <v>6945161</v>
      </c>
      <c r="O269" t="s">
        <v>2082</v>
      </c>
      <c r="P269" t="s">
        <v>11</v>
      </c>
      <c r="Q269" t="str">
        <f t="shared" si="19"/>
        <v>Kid</v>
      </c>
    </row>
    <row r="270" spans="1:17" x14ac:dyDescent="0.3">
      <c r="A270" t="s">
        <v>2083</v>
      </c>
      <c r="B270">
        <v>2026</v>
      </c>
      <c r="C270" s="5" t="s">
        <v>640</v>
      </c>
      <c r="D270" t="s">
        <v>8</v>
      </c>
      <c r="E270" s="4">
        <v>8.9</v>
      </c>
      <c r="F270" t="str">
        <f t="shared" si="16"/>
        <v>Watch</v>
      </c>
      <c r="G270" t="str">
        <f t="shared" si="17"/>
        <v>Best</v>
      </c>
      <c r="H270" t="str" cm="1">
        <f t="array" ref="H270">_xlfn.IFS(E270&gt;8,"Best",E270=7,"Good",E270&gt;7,"Good",E270&lt;7,"Avg",E270&lt;6,"Below Avg")</f>
        <v>Best</v>
      </c>
      <c r="I270">
        <v>107</v>
      </c>
      <c r="K270" s="3">
        <v>27555711</v>
      </c>
      <c r="L270" s="3">
        <v>21370474</v>
      </c>
      <c r="M270" s="3">
        <f t="shared" si="18"/>
        <v>6185237</v>
      </c>
      <c r="N270" t="s">
        <v>1828</v>
      </c>
      <c r="O270" t="s">
        <v>2084</v>
      </c>
      <c r="P270" t="s">
        <v>11</v>
      </c>
      <c r="Q270" t="str">
        <f t="shared" si="19"/>
        <v>Kid</v>
      </c>
    </row>
    <row r="271" spans="1:17" x14ac:dyDescent="0.3">
      <c r="A271" t="s">
        <v>2085</v>
      </c>
      <c r="B271">
        <v>2026</v>
      </c>
      <c r="C271" s="5" t="s">
        <v>640</v>
      </c>
      <c r="D271" t="s">
        <v>35</v>
      </c>
      <c r="E271" s="4">
        <v>9</v>
      </c>
      <c r="F271" t="str">
        <f t="shared" si="16"/>
        <v>Watch</v>
      </c>
      <c r="G271" t="str">
        <f t="shared" si="17"/>
        <v>Best</v>
      </c>
      <c r="H271" t="str" cm="1">
        <f t="array" ref="H271">_xlfn.IFS(E271&gt;8,"Best",E271=7,"Good",E271&gt;7,"Good",E271&lt;7,"Avg",E271&lt;6,"Below Avg")</f>
        <v>Best</v>
      </c>
      <c r="I271">
        <v>162</v>
      </c>
      <c r="K271" s="3">
        <v>28988901</v>
      </c>
      <c r="L271" s="3">
        <v>22325934</v>
      </c>
      <c r="M271" s="3">
        <f t="shared" si="18"/>
        <v>6662967</v>
      </c>
      <c r="O271" t="s">
        <v>1783</v>
      </c>
      <c r="P271" t="s">
        <v>11</v>
      </c>
      <c r="Q271" t="str">
        <f t="shared" si="19"/>
        <v>Kid</v>
      </c>
    </row>
    <row r="272" spans="1:17" x14ac:dyDescent="0.3">
      <c r="A272" t="s">
        <v>2086</v>
      </c>
      <c r="B272">
        <v>2026</v>
      </c>
      <c r="C272" s="5" t="s">
        <v>640</v>
      </c>
      <c r="D272" t="s">
        <v>8</v>
      </c>
      <c r="E272" s="4">
        <v>8.4</v>
      </c>
      <c r="F272" t="str">
        <f t="shared" si="16"/>
        <v>Watch</v>
      </c>
      <c r="G272" t="str">
        <f t="shared" si="17"/>
        <v>Good</v>
      </c>
      <c r="H272" t="str" cm="1">
        <f t="array" ref="H272">_xlfn.IFS(E272&gt;8,"Best",E272=7,"Good",E272&gt;7,"Good",E272&lt;7,"Avg",E272&lt;6,"Below Avg")</f>
        <v>Best</v>
      </c>
      <c r="I272">
        <v>93</v>
      </c>
      <c r="K272" s="3">
        <v>30508749</v>
      </c>
      <c r="L272" s="3">
        <v>23339166</v>
      </c>
      <c r="M272" s="3">
        <f t="shared" si="18"/>
        <v>7169583</v>
      </c>
      <c r="N272" t="s">
        <v>2087</v>
      </c>
      <c r="O272" t="s">
        <v>56</v>
      </c>
      <c r="P272" t="s">
        <v>11</v>
      </c>
      <c r="Q272" t="str">
        <f t="shared" si="19"/>
        <v>Kid</v>
      </c>
    </row>
    <row r="273" spans="1:17" x14ac:dyDescent="0.3">
      <c r="A273" t="s">
        <v>2089</v>
      </c>
      <c r="B273">
        <v>2026</v>
      </c>
      <c r="C273" s="5" t="s">
        <v>640</v>
      </c>
      <c r="D273" t="s">
        <v>39</v>
      </c>
      <c r="E273" s="4">
        <v>7.8</v>
      </c>
      <c r="F273" t="str">
        <f t="shared" si="16"/>
        <v>Watch</v>
      </c>
      <c r="G273" t="str">
        <f t="shared" si="17"/>
        <v>Good</v>
      </c>
      <c r="H273" t="str" cm="1">
        <f t="array" ref="H273">_xlfn.IFS(E273&gt;8,"Best",E273=7,"Good",E273&gt;7,"Good",E273&lt;7,"Avg",E273&lt;6,"Below Avg")</f>
        <v>Good</v>
      </c>
      <c r="I273">
        <v>126</v>
      </c>
      <c r="K273" s="3">
        <v>28618938</v>
      </c>
      <c r="L273" s="3">
        <v>22079292</v>
      </c>
      <c r="M273" s="3">
        <f t="shared" si="18"/>
        <v>6539646</v>
      </c>
      <c r="N273" t="s">
        <v>2090</v>
      </c>
      <c r="O273" t="s">
        <v>700</v>
      </c>
      <c r="P273" t="s">
        <v>11</v>
      </c>
      <c r="Q273" t="str">
        <f t="shared" si="19"/>
        <v>Kid</v>
      </c>
    </row>
    <row r="274" spans="1:17" x14ac:dyDescent="0.3">
      <c r="A274" t="s">
        <v>2091</v>
      </c>
      <c r="B274">
        <v>2026</v>
      </c>
      <c r="C274" s="5" t="s">
        <v>640</v>
      </c>
      <c r="D274" t="s">
        <v>2</v>
      </c>
      <c r="E274" s="4">
        <v>7.1</v>
      </c>
      <c r="F274" t="str">
        <f t="shared" si="16"/>
        <v>Watch</v>
      </c>
      <c r="G274" t="str">
        <f t="shared" si="17"/>
        <v>Good</v>
      </c>
      <c r="H274" t="str" cm="1">
        <f t="array" ref="H274">_xlfn.IFS(E274&gt;8,"Best",E274=7,"Good",E274&gt;7,"Good",E274&lt;7,"Avg",E274&lt;6,"Below Avg")</f>
        <v>Good</v>
      </c>
      <c r="I274">
        <v>122</v>
      </c>
      <c r="K274" s="3">
        <v>41009510</v>
      </c>
      <c r="L274" s="3">
        <v>11556388</v>
      </c>
      <c r="M274" s="3">
        <f t="shared" si="18"/>
        <v>29453122</v>
      </c>
      <c r="O274" t="s">
        <v>2092</v>
      </c>
      <c r="P274" t="s">
        <v>4</v>
      </c>
      <c r="Q274" t="str">
        <f t="shared" si="19"/>
        <v>Adult</v>
      </c>
    </row>
    <row r="275" spans="1:17" x14ac:dyDescent="0.3">
      <c r="A275" t="s">
        <v>1997</v>
      </c>
      <c r="B275">
        <v>2026</v>
      </c>
      <c r="C275" s="5" t="s">
        <v>581</v>
      </c>
      <c r="D275" t="s">
        <v>8</v>
      </c>
      <c r="E275" s="4">
        <v>6.3</v>
      </c>
      <c r="F275" t="str">
        <f t="shared" si="16"/>
        <v>Don't Watch</v>
      </c>
      <c r="G275" t="str">
        <f t="shared" si="17"/>
        <v>Avg</v>
      </c>
      <c r="H275" t="str" cm="1">
        <f t="array" ref="H275">_xlfn.IFS(E275&gt;8,"Best",E275=7,"Good",E275&gt;7,"Good",E275&lt;7,"Avg",E275&lt;6,"Below Avg")</f>
        <v>Avg</v>
      </c>
      <c r="I275">
        <v>141</v>
      </c>
      <c r="K275" s="3">
        <v>29668833</v>
      </c>
      <c r="L275" s="3">
        <v>22779222</v>
      </c>
      <c r="M275" s="3">
        <f t="shared" si="18"/>
        <v>6889611</v>
      </c>
      <c r="N275" t="s">
        <v>1998</v>
      </c>
      <c r="O275" t="s">
        <v>59</v>
      </c>
      <c r="P275" t="s">
        <v>11</v>
      </c>
      <c r="Q275" t="str">
        <f t="shared" si="19"/>
        <v>Kid</v>
      </c>
    </row>
    <row r="276" spans="1:17" x14ac:dyDescent="0.3">
      <c r="A276" t="s">
        <v>1999</v>
      </c>
      <c r="B276">
        <v>2026</v>
      </c>
      <c r="C276" s="5" t="s">
        <v>581</v>
      </c>
      <c r="D276" t="s">
        <v>8</v>
      </c>
      <c r="E276" s="4">
        <v>6.4</v>
      </c>
      <c r="F276" t="str">
        <f t="shared" si="16"/>
        <v>Don't Watch</v>
      </c>
      <c r="G276" t="str">
        <f t="shared" si="17"/>
        <v>Avg</v>
      </c>
      <c r="H276" t="str" cm="1">
        <f t="array" ref="H276">_xlfn.IFS(E276&gt;8,"Best",E276=7,"Good",E276&gt;7,"Good",E276&lt;7,"Avg",E276&lt;6,"Below Avg")</f>
        <v>Avg</v>
      </c>
      <c r="I276">
        <v>163</v>
      </c>
      <c r="K276" s="3">
        <v>28242309</v>
      </c>
      <c r="L276" s="3">
        <v>21828206</v>
      </c>
      <c r="M276" s="3">
        <f t="shared" si="18"/>
        <v>6414103</v>
      </c>
      <c r="N276" t="s">
        <v>2000</v>
      </c>
      <c r="O276" t="s">
        <v>2001</v>
      </c>
      <c r="P276" t="s">
        <v>11</v>
      </c>
      <c r="Q276" t="str">
        <f t="shared" si="19"/>
        <v>Kid</v>
      </c>
    </row>
    <row r="277" spans="1:17" x14ac:dyDescent="0.3">
      <c r="A277" t="s">
        <v>2006</v>
      </c>
      <c r="B277">
        <v>2026</v>
      </c>
      <c r="C277" s="5" t="s">
        <v>581</v>
      </c>
      <c r="D277" t="s">
        <v>27</v>
      </c>
      <c r="E277" s="4">
        <v>6.5</v>
      </c>
      <c r="F277" t="str">
        <f t="shared" si="16"/>
        <v>Don't Watch</v>
      </c>
      <c r="G277" t="str">
        <f t="shared" si="17"/>
        <v>Avg</v>
      </c>
      <c r="H277" t="str" cm="1">
        <f t="array" ref="H277">_xlfn.IFS(E277&gt;8,"Best",E277=7,"Good",E277&gt;7,"Good",E277&lt;7,"Avg",E277&lt;6,"Below Avg")</f>
        <v>Avg</v>
      </c>
      <c r="I277">
        <v>101</v>
      </c>
      <c r="K277" s="3">
        <v>29785488</v>
      </c>
      <c r="L277" s="3">
        <v>22856992</v>
      </c>
      <c r="M277" s="3">
        <f t="shared" si="18"/>
        <v>6928496</v>
      </c>
      <c r="N277" t="s">
        <v>2007</v>
      </c>
      <c r="O277" t="s">
        <v>2008</v>
      </c>
      <c r="P277" t="s">
        <v>11</v>
      </c>
      <c r="Q277" t="str">
        <f t="shared" si="19"/>
        <v>Kid</v>
      </c>
    </row>
    <row r="278" spans="1:17" x14ac:dyDescent="0.3">
      <c r="A278" t="s">
        <v>2014</v>
      </c>
      <c r="B278">
        <v>2026</v>
      </c>
      <c r="C278" s="5" t="s">
        <v>581</v>
      </c>
      <c r="D278" t="s">
        <v>2</v>
      </c>
      <c r="E278" s="4">
        <v>8.1</v>
      </c>
      <c r="F278" t="str">
        <f t="shared" si="16"/>
        <v>Watch</v>
      </c>
      <c r="G278" t="str">
        <f t="shared" si="17"/>
        <v>Good</v>
      </c>
      <c r="H278" t="str" cm="1">
        <f t="array" ref="H278">_xlfn.IFS(E278&gt;8,"Best",E278=7,"Good",E278&gt;7,"Good",E278&lt;7,"Avg",E278&lt;6,"Below Avg")</f>
        <v>Best</v>
      </c>
      <c r="I278">
        <v>153</v>
      </c>
      <c r="K278" s="3">
        <v>43264840</v>
      </c>
      <c r="L278" s="3">
        <v>12057392</v>
      </c>
      <c r="M278" s="3">
        <f t="shared" si="18"/>
        <v>31207448</v>
      </c>
      <c r="O278" t="s">
        <v>2015</v>
      </c>
      <c r="P278" t="s">
        <v>4</v>
      </c>
      <c r="Q278" t="str">
        <f t="shared" si="19"/>
        <v>Adult</v>
      </c>
    </row>
    <row r="279" spans="1:17" x14ac:dyDescent="0.3">
      <c r="A279" t="s">
        <v>2027</v>
      </c>
      <c r="B279">
        <v>2026</v>
      </c>
      <c r="C279" s="5" t="s">
        <v>581</v>
      </c>
      <c r="D279" t="s">
        <v>8</v>
      </c>
      <c r="E279" s="4">
        <v>8.9</v>
      </c>
      <c r="F279" t="str">
        <f t="shared" si="16"/>
        <v>Watch</v>
      </c>
      <c r="G279" t="str">
        <f t="shared" si="17"/>
        <v>Best</v>
      </c>
      <c r="H279" t="str" cm="1">
        <f t="array" ref="H279">_xlfn.IFS(E279&gt;8,"Best",E279=7,"Good",E279&gt;7,"Good",E279&lt;7,"Avg",E279&lt;6,"Below Avg")</f>
        <v>Best</v>
      </c>
      <c r="I279">
        <v>122</v>
      </c>
      <c r="K279" s="3">
        <v>30855381</v>
      </c>
      <c r="L279" s="3">
        <v>23570254</v>
      </c>
      <c r="M279" s="3">
        <f t="shared" si="18"/>
        <v>7285127</v>
      </c>
      <c r="N279" t="s">
        <v>2028</v>
      </c>
      <c r="O279" t="s">
        <v>2029</v>
      </c>
      <c r="P279" t="s">
        <v>11</v>
      </c>
      <c r="Q279" t="str">
        <f t="shared" si="19"/>
        <v>Kid</v>
      </c>
    </row>
    <row r="280" spans="1:17" x14ac:dyDescent="0.3">
      <c r="A280" t="s">
        <v>2002</v>
      </c>
      <c r="B280">
        <v>2026</v>
      </c>
      <c r="C280" s="5" t="s">
        <v>581</v>
      </c>
      <c r="D280" t="s">
        <v>27</v>
      </c>
      <c r="E280" s="4">
        <v>6.5</v>
      </c>
      <c r="F280" t="str">
        <f t="shared" si="16"/>
        <v>Don't Watch</v>
      </c>
      <c r="G280" t="str">
        <f t="shared" si="17"/>
        <v>Avg</v>
      </c>
      <c r="H280" t="str" cm="1">
        <f t="array" ref="H280">_xlfn.IFS(E280&gt;8,"Best",E280=7,"Good",E280&gt;7,"Good",E280&lt;7,"Avg",E280&lt;6,"Below Avg")</f>
        <v>Avg</v>
      </c>
      <c r="I280">
        <v>140</v>
      </c>
      <c r="K280" s="3">
        <v>27915675</v>
      </c>
      <c r="L280" s="3">
        <v>21610450</v>
      </c>
      <c r="M280" s="3">
        <f t="shared" si="18"/>
        <v>6305225</v>
      </c>
      <c r="N280" t="s">
        <v>233</v>
      </c>
      <c r="O280" t="s">
        <v>2003</v>
      </c>
      <c r="P280" t="s">
        <v>11</v>
      </c>
      <c r="Q280" t="str">
        <f t="shared" si="19"/>
        <v>Kid</v>
      </c>
    </row>
    <row r="281" spans="1:17" x14ac:dyDescent="0.3">
      <c r="A281" t="s">
        <v>2004</v>
      </c>
      <c r="B281">
        <v>2026</v>
      </c>
      <c r="C281" s="5" t="s">
        <v>581</v>
      </c>
      <c r="D281" t="s">
        <v>27</v>
      </c>
      <c r="E281" s="4">
        <v>9.1999999999999993</v>
      </c>
      <c r="F281" t="str">
        <f t="shared" si="16"/>
        <v>Watch</v>
      </c>
      <c r="G281" t="str">
        <f t="shared" si="17"/>
        <v>Best</v>
      </c>
      <c r="H281" t="str" cm="1">
        <f t="array" ref="H281">_xlfn.IFS(E281&gt;8,"Best",E281=7,"Good",E281&gt;7,"Good",E281&lt;7,"Avg",E281&lt;6,"Below Avg")</f>
        <v>Best</v>
      </c>
      <c r="I281">
        <v>116</v>
      </c>
      <c r="K281" s="3">
        <v>33835083</v>
      </c>
      <c r="L281" s="3">
        <v>25556722</v>
      </c>
      <c r="M281" s="3">
        <f t="shared" si="18"/>
        <v>8278361</v>
      </c>
      <c r="N281" t="s">
        <v>2005</v>
      </c>
      <c r="O281" t="s">
        <v>497</v>
      </c>
      <c r="P281" t="s">
        <v>11</v>
      </c>
      <c r="Q281" t="str">
        <f t="shared" si="19"/>
        <v>Kid</v>
      </c>
    </row>
    <row r="282" spans="1:17" x14ac:dyDescent="0.3">
      <c r="A282" t="s">
        <v>2009</v>
      </c>
      <c r="B282">
        <v>2026</v>
      </c>
      <c r="C282" s="5" t="s">
        <v>581</v>
      </c>
      <c r="D282" t="s">
        <v>127</v>
      </c>
      <c r="E282" s="4">
        <v>8</v>
      </c>
      <c r="F282" t="str">
        <f t="shared" si="16"/>
        <v>Watch</v>
      </c>
      <c r="G282" t="str">
        <f t="shared" si="17"/>
        <v>Good</v>
      </c>
      <c r="H282" t="str" cm="1">
        <f t="array" ref="H282">_xlfn.IFS(E282&gt;8,"Best",E282=7,"Good",E282&gt;7,"Good",E282&lt;7,"Avg",E282&lt;6,"Below Avg")</f>
        <v>Good</v>
      </c>
      <c r="I282">
        <v>125</v>
      </c>
      <c r="K282" s="3">
        <v>26865780</v>
      </c>
      <c r="L282" s="3">
        <v>20910520</v>
      </c>
      <c r="M282" s="3">
        <f t="shared" si="18"/>
        <v>5955260</v>
      </c>
      <c r="N282" t="s">
        <v>2010</v>
      </c>
      <c r="O282" t="s">
        <v>187</v>
      </c>
      <c r="P282" t="s">
        <v>11</v>
      </c>
      <c r="Q282" t="str">
        <f t="shared" si="19"/>
        <v>Kid</v>
      </c>
    </row>
    <row r="283" spans="1:17" x14ac:dyDescent="0.3">
      <c r="A283" t="s">
        <v>2011</v>
      </c>
      <c r="B283">
        <v>2026</v>
      </c>
      <c r="C283" s="5" t="s">
        <v>581</v>
      </c>
      <c r="D283" t="s">
        <v>8</v>
      </c>
      <c r="E283" s="4">
        <v>6.2</v>
      </c>
      <c r="F283" t="str">
        <f t="shared" si="16"/>
        <v>Don't Watch</v>
      </c>
      <c r="G283" t="str">
        <f t="shared" si="17"/>
        <v>Avg</v>
      </c>
      <c r="H283" t="str" cm="1">
        <f t="array" ref="H283">_xlfn.IFS(E283&gt;8,"Best",E283=7,"Good",E283&gt;7,"Good",E283&lt;7,"Avg",E283&lt;6,"Below Avg")</f>
        <v>Avg</v>
      </c>
      <c r="I283">
        <v>107</v>
      </c>
      <c r="K283" s="3">
        <v>26805786</v>
      </c>
      <c r="L283" s="3">
        <v>20870524</v>
      </c>
      <c r="M283" s="3">
        <f t="shared" si="18"/>
        <v>5935262</v>
      </c>
      <c r="O283" t="s">
        <v>2012</v>
      </c>
      <c r="P283" t="s">
        <v>11</v>
      </c>
      <c r="Q283" t="str">
        <f t="shared" si="19"/>
        <v>Kid</v>
      </c>
    </row>
    <row r="284" spans="1:17" x14ac:dyDescent="0.3">
      <c r="A284" t="s">
        <v>681</v>
      </c>
      <c r="B284">
        <v>2026</v>
      </c>
      <c r="C284" s="5" t="s">
        <v>581</v>
      </c>
      <c r="D284" t="s">
        <v>8</v>
      </c>
      <c r="E284" s="4">
        <v>6.5</v>
      </c>
      <c r="F284" t="str">
        <f t="shared" si="16"/>
        <v>Don't Watch</v>
      </c>
      <c r="G284" t="str">
        <f t="shared" si="17"/>
        <v>Avg</v>
      </c>
      <c r="H284" t="str" cm="1">
        <f t="array" ref="H284">_xlfn.IFS(E284&gt;8,"Best",E284=7,"Good",E284&gt;7,"Good",E284&lt;7,"Avg",E284&lt;6,"Below Avg")</f>
        <v>Avg</v>
      </c>
      <c r="I284">
        <v>149</v>
      </c>
      <c r="K284" s="3">
        <v>27695697</v>
      </c>
      <c r="L284" s="3">
        <v>21463798</v>
      </c>
      <c r="M284" s="3">
        <f t="shared" si="18"/>
        <v>6231899</v>
      </c>
      <c r="O284" t="s">
        <v>2013</v>
      </c>
      <c r="P284" t="s">
        <v>11</v>
      </c>
      <c r="Q284" t="str">
        <f t="shared" si="19"/>
        <v>Kid</v>
      </c>
    </row>
    <row r="285" spans="1:17" x14ac:dyDescent="0.3">
      <c r="A285" t="s">
        <v>2016</v>
      </c>
      <c r="B285">
        <v>2026</v>
      </c>
      <c r="C285" s="5" t="s">
        <v>581</v>
      </c>
      <c r="D285" t="s">
        <v>93</v>
      </c>
      <c r="E285" s="4">
        <v>8.6</v>
      </c>
      <c r="F285" t="str">
        <f t="shared" si="16"/>
        <v>Watch</v>
      </c>
      <c r="G285" t="str">
        <f t="shared" si="17"/>
        <v>Best</v>
      </c>
      <c r="H285" t="str" cm="1">
        <f t="array" ref="H285">_xlfn.IFS(E285&gt;8,"Best",E285=7,"Good",E285&gt;7,"Good",E285&lt;7,"Avg",E285&lt;6,"Below Avg")</f>
        <v>Best</v>
      </c>
      <c r="I285">
        <v>128</v>
      </c>
      <c r="K285" s="3">
        <v>27875679</v>
      </c>
      <c r="L285" s="3">
        <v>21583786</v>
      </c>
      <c r="M285" s="3">
        <f t="shared" si="18"/>
        <v>6291893</v>
      </c>
      <c r="N285" t="s">
        <v>2017</v>
      </c>
      <c r="O285" t="s">
        <v>396</v>
      </c>
      <c r="P285" t="s">
        <v>11</v>
      </c>
      <c r="Q285" t="str">
        <f t="shared" si="19"/>
        <v>Kid</v>
      </c>
    </row>
    <row r="286" spans="1:17" x14ac:dyDescent="0.3">
      <c r="A286" t="s">
        <v>2018</v>
      </c>
      <c r="B286">
        <v>2026</v>
      </c>
      <c r="C286" s="5" t="s">
        <v>581</v>
      </c>
      <c r="D286" t="s">
        <v>8</v>
      </c>
      <c r="E286" s="4">
        <v>8</v>
      </c>
      <c r="F286" t="str">
        <f t="shared" si="16"/>
        <v>Watch</v>
      </c>
      <c r="G286" t="str">
        <f t="shared" si="17"/>
        <v>Good</v>
      </c>
      <c r="H286" t="str" cm="1">
        <f t="array" ref="H286">_xlfn.IFS(E286&gt;8,"Best",E286=7,"Good",E286&gt;7,"Good",E286&lt;7,"Avg",E286&lt;6,"Below Avg")</f>
        <v>Good</v>
      </c>
      <c r="I286">
        <v>92</v>
      </c>
      <c r="K286" s="3">
        <v>29505516</v>
      </c>
      <c r="L286" s="3">
        <v>22670344</v>
      </c>
      <c r="M286" s="3">
        <f t="shared" si="18"/>
        <v>6835172</v>
      </c>
      <c r="N286" t="s">
        <v>2019</v>
      </c>
      <c r="O286" t="s">
        <v>2020</v>
      </c>
      <c r="P286" t="s">
        <v>11</v>
      </c>
      <c r="Q286" t="str">
        <f t="shared" si="19"/>
        <v>Kid</v>
      </c>
    </row>
    <row r="287" spans="1:17" x14ac:dyDescent="0.3">
      <c r="A287" t="s">
        <v>2021</v>
      </c>
      <c r="B287">
        <v>2026</v>
      </c>
      <c r="C287" s="5" t="s">
        <v>581</v>
      </c>
      <c r="D287" t="s">
        <v>8</v>
      </c>
      <c r="E287" s="4">
        <v>8.9</v>
      </c>
      <c r="F287" t="str">
        <f t="shared" si="16"/>
        <v>Watch</v>
      </c>
      <c r="G287" t="str">
        <f t="shared" si="17"/>
        <v>Best</v>
      </c>
      <c r="H287" t="str" cm="1">
        <f t="array" ref="H287">_xlfn.IFS(E287&gt;8,"Best",E287=7,"Good",E287&gt;7,"Good",E287&lt;7,"Avg",E287&lt;6,"Below Avg")</f>
        <v>Best</v>
      </c>
      <c r="I287">
        <v>155</v>
      </c>
      <c r="K287" s="3">
        <v>28215645</v>
      </c>
      <c r="L287" s="3">
        <v>21810430</v>
      </c>
      <c r="M287" s="3">
        <f t="shared" si="18"/>
        <v>6405215</v>
      </c>
      <c r="N287" t="s">
        <v>2022</v>
      </c>
      <c r="O287" t="s">
        <v>2023</v>
      </c>
      <c r="P287" t="s">
        <v>11</v>
      </c>
      <c r="Q287" t="str">
        <f t="shared" si="19"/>
        <v>Kid</v>
      </c>
    </row>
    <row r="288" spans="1:17" x14ac:dyDescent="0.3">
      <c r="A288" t="s">
        <v>2024</v>
      </c>
      <c r="B288">
        <v>2026</v>
      </c>
      <c r="C288" s="5" t="s">
        <v>581</v>
      </c>
      <c r="D288" t="s">
        <v>8</v>
      </c>
      <c r="E288" s="4">
        <v>6.9</v>
      </c>
      <c r="F288" t="str">
        <f t="shared" si="16"/>
        <v>Watch</v>
      </c>
      <c r="G288" t="str">
        <f t="shared" si="17"/>
        <v>Avg</v>
      </c>
      <c r="H288" t="str" cm="1">
        <f t="array" ref="H288">_xlfn.IFS(E288&gt;8,"Best",E288=7,"Good",E288&gt;7,"Good",E288&lt;7,"Avg",E288&lt;6,"Below Avg")</f>
        <v>Avg</v>
      </c>
      <c r="I288">
        <v>117</v>
      </c>
      <c r="K288" s="3">
        <v>31338666</v>
      </c>
      <c r="L288" s="3">
        <v>23892444</v>
      </c>
      <c r="M288" s="3">
        <f t="shared" si="18"/>
        <v>7446222</v>
      </c>
      <c r="N288" t="s">
        <v>2025</v>
      </c>
      <c r="O288" t="s">
        <v>2026</v>
      </c>
      <c r="P288" t="s">
        <v>11</v>
      </c>
      <c r="Q288" t="str">
        <f t="shared" si="19"/>
        <v>Kid</v>
      </c>
    </row>
    <row r="289" spans="1:17" x14ac:dyDescent="0.3">
      <c r="A289" t="s">
        <v>2030</v>
      </c>
      <c r="B289">
        <v>2026</v>
      </c>
      <c r="C289" s="5" t="s">
        <v>581</v>
      </c>
      <c r="D289" t="s">
        <v>8</v>
      </c>
      <c r="E289" s="4">
        <v>8.1</v>
      </c>
      <c r="F289" t="str">
        <f t="shared" si="16"/>
        <v>Watch</v>
      </c>
      <c r="G289" t="str">
        <f t="shared" si="17"/>
        <v>Good</v>
      </c>
      <c r="H289" t="str" cm="1">
        <f t="array" ref="H289">_xlfn.IFS(E289&gt;8,"Best",E289=7,"Good",E289&gt;7,"Good",E289&lt;7,"Avg",E289&lt;6,"Below Avg")</f>
        <v>Best</v>
      </c>
      <c r="I289">
        <v>141</v>
      </c>
      <c r="K289" s="3">
        <v>30168783</v>
      </c>
      <c r="L289" s="3">
        <v>23112522</v>
      </c>
      <c r="M289" s="3">
        <f t="shared" si="18"/>
        <v>7056261</v>
      </c>
      <c r="N289" t="s">
        <v>28</v>
      </c>
      <c r="O289" t="s">
        <v>2031</v>
      </c>
      <c r="P289" t="s">
        <v>11</v>
      </c>
      <c r="Q289" t="str">
        <f t="shared" si="19"/>
        <v>Kid</v>
      </c>
    </row>
    <row r="290" spans="1:17" x14ac:dyDescent="0.3">
      <c r="A290" t="s">
        <v>2032</v>
      </c>
      <c r="B290">
        <v>2026</v>
      </c>
      <c r="C290" s="5" t="s">
        <v>581</v>
      </c>
      <c r="D290" t="s">
        <v>31</v>
      </c>
      <c r="E290" s="4">
        <v>8.9</v>
      </c>
      <c r="F290" t="str">
        <f t="shared" si="16"/>
        <v>Watch</v>
      </c>
      <c r="G290" t="str">
        <f t="shared" si="17"/>
        <v>Best</v>
      </c>
      <c r="H290" t="str" cm="1">
        <f t="array" ref="H290">_xlfn.IFS(E290&gt;8,"Best",E290=7,"Good",E290&gt;7,"Good",E290&lt;7,"Avg",E290&lt;6,"Below Avg")</f>
        <v>Best</v>
      </c>
      <c r="I290">
        <v>131</v>
      </c>
      <c r="K290" s="3">
        <v>27885678</v>
      </c>
      <c r="L290" s="3">
        <v>21590452</v>
      </c>
      <c r="M290" s="3">
        <f t="shared" si="18"/>
        <v>6295226</v>
      </c>
      <c r="N290" t="s">
        <v>2033</v>
      </c>
      <c r="O290" t="s">
        <v>2034</v>
      </c>
      <c r="P290" t="s">
        <v>11</v>
      </c>
      <c r="Q290" t="str">
        <f t="shared" si="19"/>
        <v>Kid</v>
      </c>
    </row>
    <row r="291" spans="1:17" x14ac:dyDescent="0.3">
      <c r="A291" t="s">
        <v>2035</v>
      </c>
      <c r="B291">
        <v>2026</v>
      </c>
      <c r="C291" s="5" t="s">
        <v>581</v>
      </c>
      <c r="D291" t="s">
        <v>8</v>
      </c>
      <c r="E291" s="4">
        <v>7.2</v>
      </c>
      <c r="F291" t="str">
        <f t="shared" si="16"/>
        <v>Watch</v>
      </c>
      <c r="G291" t="str">
        <f t="shared" si="17"/>
        <v>Good</v>
      </c>
      <c r="H291" t="str" cm="1">
        <f t="array" ref="H291">_xlfn.IFS(E291&gt;8,"Best",E291=7,"Good",E291&gt;7,"Good",E291&lt;7,"Avg",E291&lt;6,"Below Avg")</f>
        <v>Good</v>
      </c>
      <c r="I291">
        <v>114</v>
      </c>
      <c r="K291" s="3">
        <v>27829017</v>
      </c>
      <c r="L291" s="3">
        <v>21552678</v>
      </c>
      <c r="M291" s="3">
        <f t="shared" si="18"/>
        <v>6276339</v>
      </c>
      <c r="N291" t="s">
        <v>2036</v>
      </c>
      <c r="O291" t="s">
        <v>2037</v>
      </c>
      <c r="P291" t="s">
        <v>11</v>
      </c>
      <c r="Q291" t="str">
        <f t="shared" si="19"/>
        <v>Kid</v>
      </c>
    </row>
    <row r="292" spans="1:17" x14ac:dyDescent="0.3">
      <c r="A292" t="s">
        <v>2038</v>
      </c>
      <c r="B292">
        <v>2026</v>
      </c>
      <c r="C292" s="5" t="s">
        <v>581</v>
      </c>
      <c r="D292" t="s">
        <v>8</v>
      </c>
      <c r="E292" s="4">
        <v>9.1</v>
      </c>
      <c r="F292" t="str">
        <f t="shared" si="16"/>
        <v>Watch</v>
      </c>
      <c r="G292" t="str">
        <f t="shared" si="17"/>
        <v>Best</v>
      </c>
      <c r="H292" t="str" cm="1">
        <f t="array" ref="H292">_xlfn.IFS(E292&gt;8,"Best",E292=7,"Good",E292&gt;7,"Good",E292&lt;7,"Avg",E292&lt;6,"Below Avg")</f>
        <v>Best</v>
      </c>
      <c r="I292">
        <v>154</v>
      </c>
      <c r="K292" s="3">
        <v>29212212</v>
      </c>
      <c r="L292" s="3">
        <v>22474808</v>
      </c>
      <c r="M292" s="3">
        <f t="shared" si="18"/>
        <v>6737404</v>
      </c>
      <c r="N292" t="s">
        <v>2039</v>
      </c>
      <c r="O292" t="s">
        <v>2040</v>
      </c>
      <c r="P292" t="s">
        <v>11</v>
      </c>
      <c r="Q292" t="str">
        <f t="shared" si="19"/>
        <v>Kid</v>
      </c>
    </row>
    <row r="293" spans="1:17" x14ac:dyDescent="0.3">
      <c r="A293" t="s">
        <v>2041</v>
      </c>
      <c r="B293">
        <v>2026</v>
      </c>
      <c r="C293" s="5" t="s">
        <v>581</v>
      </c>
      <c r="D293" t="s">
        <v>23</v>
      </c>
      <c r="E293" s="4">
        <v>7.5</v>
      </c>
      <c r="F293" t="str">
        <f t="shared" si="16"/>
        <v>Watch</v>
      </c>
      <c r="G293" t="str">
        <f t="shared" si="17"/>
        <v>Good</v>
      </c>
      <c r="H293" t="str" cm="1">
        <f t="array" ref="H293">_xlfn.IFS(E293&gt;8,"Best",E293=7,"Good",E293&gt;7,"Good",E293&lt;7,"Avg",E293&lt;6,"Below Avg")</f>
        <v>Good</v>
      </c>
      <c r="I293">
        <v>129</v>
      </c>
      <c r="K293" s="3">
        <v>32128587</v>
      </c>
      <c r="L293" s="3">
        <v>24419058</v>
      </c>
      <c r="M293" s="3">
        <f t="shared" si="18"/>
        <v>7709529</v>
      </c>
      <c r="O293" t="s">
        <v>2042</v>
      </c>
      <c r="P293" t="s">
        <v>11</v>
      </c>
      <c r="Q293" t="str">
        <f t="shared" si="19"/>
        <v>Kid</v>
      </c>
    </row>
    <row r="294" spans="1:17" x14ac:dyDescent="0.3">
      <c r="A294" t="s">
        <v>2043</v>
      </c>
      <c r="B294">
        <v>2026</v>
      </c>
      <c r="C294" s="5" t="s">
        <v>581</v>
      </c>
      <c r="D294" t="s">
        <v>127</v>
      </c>
      <c r="E294" s="4">
        <v>7</v>
      </c>
      <c r="F294" t="str">
        <f t="shared" si="16"/>
        <v>Watch</v>
      </c>
      <c r="G294" t="str">
        <f t="shared" si="17"/>
        <v>Avg</v>
      </c>
      <c r="H294" t="str" cm="1">
        <f t="array" ref="H294">_xlfn.IFS(E294&gt;8,"Best",E294=7,"Good",E294&gt;7,"Good",E294&lt;7,"Avg",E294&lt;6,"Below Avg")</f>
        <v>Good</v>
      </c>
      <c r="I294">
        <v>115</v>
      </c>
      <c r="K294" s="3">
        <v>26832450</v>
      </c>
      <c r="L294" s="3">
        <v>20888300</v>
      </c>
      <c r="M294" s="3">
        <f t="shared" si="18"/>
        <v>5944150</v>
      </c>
      <c r="O294" t="s">
        <v>2044</v>
      </c>
      <c r="P294" t="s">
        <v>11</v>
      </c>
      <c r="Q294" t="str">
        <f t="shared" si="19"/>
        <v>Kid</v>
      </c>
    </row>
    <row r="295" spans="1:17" x14ac:dyDescent="0.3">
      <c r="A295" t="s">
        <v>2045</v>
      </c>
      <c r="B295">
        <v>2026</v>
      </c>
      <c r="C295" s="5" t="s">
        <v>581</v>
      </c>
      <c r="D295" t="s">
        <v>8</v>
      </c>
      <c r="E295" s="4">
        <v>7.2</v>
      </c>
      <c r="F295" t="str">
        <f t="shared" si="16"/>
        <v>Watch</v>
      </c>
      <c r="G295" t="str">
        <f t="shared" si="17"/>
        <v>Good</v>
      </c>
      <c r="H295" t="str" cm="1">
        <f t="array" ref="H295">_xlfn.IFS(E295&gt;8,"Best",E295=7,"Good",E295&gt;7,"Good",E295&lt;7,"Avg",E295&lt;6,"Below Avg")</f>
        <v>Good</v>
      </c>
      <c r="I295">
        <v>147</v>
      </c>
      <c r="K295" s="3">
        <v>27939006</v>
      </c>
      <c r="L295" s="3">
        <v>21626004</v>
      </c>
      <c r="M295" s="3">
        <f t="shared" si="18"/>
        <v>6313002</v>
      </c>
      <c r="N295" t="s">
        <v>2046</v>
      </c>
      <c r="O295" t="s">
        <v>413</v>
      </c>
      <c r="P295" t="s">
        <v>11</v>
      </c>
      <c r="Q295" t="str">
        <f t="shared" si="19"/>
        <v>Kid</v>
      </c>
    </row>
    <row r="296" spans="1:17" x14ac:dyDescent="0.3">
      <c r="A296" t="s">
        <v>973</v>
      </c>
      <c r="B296">
        <v>2025</v>
      </c>
      <c r="C296" s="5" t="s">
        <v>240</v>
      </c>
      <c r="D296" t="s">
        <v>2</v>
      </c>
      <c r="E296" s="4">
        <v>7.4</v>
      </c>
      <c r="F296" t="str">
        <f t="shared" si="16"/>
        <v>Watch</v>
      </c>
      <c r="G296" t="str">
        <f t="shared" si="17"/>
        <v>Good</v>
      </c>
      <c r="H296" t="str" cm="1">
        <f t="array" ref="H296">_xlfn.IFS(E296&gt;8,"Best",E296=7,"Good",E296&gt;7,"Good",E296&lt;7,"Avg",E296&lt;6,"Below Avg")</f>
        <v>Good</v>
      </c>
      <c r="I296">
        <v>140</v>
      </c>
      <c r="K296" s="3">
        <v>41942750</v>
      </c>
      <c r="L296" s="3">
        <v>11763700</v>
      </c>
      <c r="M296" s="3">
        <f t="shared" si="18"/>
        <v>30179050</v>
      </c>
      <c r="O296" t="s">
        <v>974</v>
      </c>
      <c r="P296" t="s">
        <v>4</v>
      </c>
      <c r="Q296" t="str">
        <f t="shared" si="19"/>
        <v>Adult</v>
      </c>
    </row>
    <row r="297" spans="1:17" x14ac:dyDescent="0.3">
      <c r="A297" t="s">
        <v>975</v>
      </c>
      <c r="B297">
        <v>2025</v>
      </c>
      <c r="C297" s="5" t="s">
        <v>240</v>
      </c>
      <c r="D297" t="s">
        <v>27</v>
      </c>
      <c r="E297" s="4">
        <v>8.3000000000000007</v>
      </c>
      <c r="F297" t="str">
        <f t="shared" si="16"/>
        <v>Watch</v>
      </c>
      <c r="G297" t="str">
        <f t="shared" si="17"/>
        <v>Good</v>
      </c>
      <c r="H297" t="str" cm="1">
        <f t="array" ref="H297">_xlfn.IFS(E297&gt;8,"Best",E297=7,"Good",E297&gt;7,"Good",E297&lt;7,"Avg",E297&lt;6,"Below Avg")</f>
        <v>Best</v>
      </c>
      <c r="I297">
        <v>152</v>
      </c>
      <c r="K297" s="3">
        <v>29955471</v>
      </c>
      <c r="L297" s="3">
        <v>22970314</v>
      </c>
      <c r="M297" s="3">
        <f t="shared" si="18"/>
        <v>6985157</v>
      </c>
      <c r="N297" t="s">
        <v>976</v>
      </c>
      <c r="O297" t="s">
        <v>977</v>
      </c>
      <c r="P297" t="s">
        <v>11</v>
      </c>
      <c r="Q297" t="str">
        <f t="shared" si="19"/>
        <v>Kid</v>
      </c>
    </row>
    <row r="298" spans="1:17" x14ac:dyDescent="0.3">
      <c r="A298" t="s">
        <v>989</v>
      </c>
      <c r="B298">
        <v>2025</v>
      </c>
      <c r="C298" s="5" t="s">
        <v>240</v>
      </c>
      <c r="D298" t="s">
        <v>116</v>
      </c>
      <c r="E298" s="4">
        <v>7.6</v>
      </c>
      <c r="F298" t="str">
        <f t="shared" si="16"/>
        <v>Watch</v>
      </c>
      <c r="G298" t="str">
        <f t="shared" si="17"/>
        <v>Good</v>
      </c>
      <c r="H298" t="str" cm="1">
        <f t="array" ref="H298">_xlfn.IFS(E298&gt;8,"Best",E298=7,"Good",E298&gt;7,"Good",E298&lt;7,"Avg",E298&lt;6,"Below Avg")</f>
        <v>Good</v>
      </c>
      <c r="I298">
        <v>109</v>
      </c>
      <c r="K298" s="3">
        <v>25312602</v>
      </c>
      <c r="L298" s="3">
        <v>19875068</v>
      </c>
      <c r="M298" s="3">
        <f t="shared" si="18"/>
        <v>5437534</v>
      </c>
      <c r="N298" t="s">
        <v>990</v>
      </c>
      <c r="O298" t="s">
        <v>991</v>
      </c>
      <c r="P298" t="s">
        <v>11</v>
      </c>
      <c r="Q298" t="str">
        <f t="shared" si="19"/>
        <v>Kid</v>
      </c>
    </row>
    <row r="299" spans="1:17" x14ac:dyDescent="0.3">
      <c r="A299" t="s">
        <v>992</v>
      </c>
      <c r="B299">
        <v>2025</v>
      </c>
      <c r="C299" s="5" t="s">
        <v>240</v>
      </c>
      <c r="D299" t="s">
        <v>8</v>
      </c>
      <c r="E299" s="4">
        <v>8.9</v>
      </c>
      <c r="F299" t="str">
        <f t="shared" si="16"/>
        <v>Watch</v>
      </c>
      <c r="G299" t="str">
        <f t="shared" si="17"/>
        <v>Best</v>
      </c>
      <c r="H299" t="str" cm="1">
        <f t="array" ref="H299">_xlfn.IFS(E299&gt;8,"Best",E299=7,"Good",E299&gt;7,"Good",E299&lt;7,"Avg",E299&lt;6,"Below Avg")</f>
        <v>Best</v>
      </c>
      <c r="I299">
        <v>155</v>
      </c>
      <c r="K299" s="3">
        <v>28215645</v>
      </c>
      <c r="L299" s="3">
        <v>21810430</v>
      </c>
      <c r="M299" s="3">
        <f t="shared" si="18"/>
        <v>6405215</v>
      </c>
      <c r="N299" t="s">
        <v>208</v>
      </c>
      <c r="O299" t="s">
        <v>243</v>
      </c>
      <c r="P299" t="s">
        <v>11</v>
      </c>
      <c r="Q299" t="str">
        <f t="shared" si="19"/>
        <v>Kid</v>
      </c>
    </row>
    <row r="300" spans="1:17" x14ac:dyDescent="0.3">
      <c r="A300" t="s">
        <v>1006</v>
      </c>
      <c r="B300">
        <v>2025</v>
      </c>
      <c r="C300" s="5" t="s">
        <v>240</v>
      </c>
      <c r="D300" t="s">
        <v>8</v>
      </c>
      <c r="E300" s="4">
        <v>6.3</v>
      </c>
      <c r="F300" t="str">
        <f t="shared" si="16"/>
        <v>Don't Watch</v>
      </c>
      <c r="G300" t="str">
        <f t="shared" si="17"/>
        <v>Avg</v>
      </c>
      <c r="H300" t="str" cm="1">
        <f t="array" ref="H300">_xlfn.IFS(E300&gt;8,"Best",E300=7,"Good",E300&gt;7,"Good",E300&lt;7,"Avg",E300&lt;6,"Below Avg")</f>
        <v>Avg</v>
      </c>
      <c r="I300">
        <v>108</v>
      </c>
      <c r="K300" s="3">
        <v>29558844</v>
      </c>
      <c r="L300" s="3">
        <v>22705896</v>
      </c>
      <c r="M300" s="3">
        <f t="shared" si="18"/>
        <v>6852948</v>
      </c>
      <c r="N300" t="s">
        <v>1007</v>
      </c>
      <c r="O300" t="s">
        <v>1008</v>
      </c>
      <c r="P300" t="s">
        <v>11</v>
      </c>
      <c r="Q300" t="str">
        <f t="shared" si="19"/>
        <v>Kid</v>
      </c>
    </row>
    <row r="301" spans="1:17" x14ac:dyDescent="0.3">
      <c r="A301" t="s">
        <v>978</v>
      </c>
      <c r="B301">
        <v>2025</v>
      </c>
      <c r="C301" s="5" t="s">
        <v>240</v>
      </c>
      <c r="D301" t="s">
        <v>8</v>
      </c>
      <c r="E301" s="4">
        <v>7.2</v>
      </c>
      <c r="F301" t="str">
        <f t="shared" si="16"/>
        <v>Watch</v>
      </c>
      <c r="G301" t="str">
        <f t="shared" si="17"/>
        <v>Good</v>
      </c>
      <c r="H301" t="str" cm="1">
        <f t="array" ref="H301">_xlfn.IFS(E301&gt;8,"Best",E301=7,"Good",E301&gt;7,"Good",E301&lt;7,"Avg",E301&lt;6,"Below Avg")</f>
        <v>Good</v>
      </c>
      <c r="I301">
        <v>132</v>
      </c>
      <c r="K301" s="3">
        <v>32888511</v>
      </c>
      <c r="L301" s="3">
        <v>24925674</v>
      </c>
      <c r="M301" s="3">
        <f t="shared" si="18"/>
        <v>7962837</v>
      </c>
      <c r="O301" t="s">
        <v>979</v>
      </c>
      <c r="P301" t="s">
        <v>11</v>
      </c>
      <c r="Q301" t="str">
        <f t="shared" si="19"/>
        <v>Kid</v>
      </c>
    </row>
    <row r="302" spans="1:17" x14ac:dyDescent="0.3">
      <c r="A302" t="s">
        <v>980</v>
      </c>
      <c r="B302">
        <v>2025</v>
      </c>
      <c r="C302" s="5" t="s">
        <v>240</v>
      </c>
      <c r="D302" t="s">
        <v>39</v>
      </c>
      <c r="E302" s="4">
        <v>7.2</v>
      </c>
      <c r="F302" t="str">
        <f t="shared" si="16"/>
        <v>Watch</v>
      </c>
      <c r="G302" t="str">
        <f t="shared" si="17"/>
        <v>Good</v>
      </c>
      <c r="H302" t="str" cm="1">
        <f t="array" ref="H302">_xlfn.IFS(E302&gt;8,"Best",E302=7,"Good",E302&gt;7,"Good",E302&lt;7,"Avg",E302&lt;6,"Below Avg")</f>
        <v>Good</v>
      </c>
      <c r="I302">
        <v>114</v>
      </c>
      <c r="K302" s="3">
        <v>27829017</v>
      </c>
      <c r="L302" s="3">
        <v>21552678</v>
      </c>
      <c r="M302" s="3">
        <f t="shared" si="18"/>
        <v>6276339</v>
      </c>
      <c r="N302" t="s">
        <v>981</v>
      </c>
      <c r="O302" t="s">
        <v>982</v>
      </c>
      <c r="P302" t="s">
        <v>11</v>
      </c>
      <c r="Q302" t="str">
        <f t="shared" si="19"/>
        <v>Kid</v>
      </c>
    </row>
    <row r="303" spans="1:17" x14ac:dyDescent="0.3">
      <c r="A303" t="s">
        <v>983</v>
      </c>
      <c r="B303">
        <v>2025</v>
      </c>
      <c r="C303" s="5" t="s">
        <v>240</v>
      </c>
      <c r="D303" t="s">
        <v>8</v>
      </c>
      <c r="E303" s="4">
        <v>9</v>
      </c>
      <c r="F303" t="str">
        <f t="shared" si="16"/>
        <v>Watch</v>
      </c>
      <c r="G303" t="str">
        <f t="shared" si="17"/>
        <v>Best</v>
      </c>
      <c r="H303" t="str" cm="1">
        <f t="array" ref="H303">_xlfn.IFS(E303&gt;8,"Best",E303=7,"Good",E303&gt;7,"Good",E303&lt;7,"Avg",E303&lt;6,"Below Avg")</f>
        <v>Best</v>
      </c>
      <c r="I303">
        <v>102</v>
      </c>
      <c r="K303" s="3">
        <v>29538846</v>
      </c>
      <c r="L303" s="3">
        <v>22692564</v>
      </c>
      <c r="M303" s="3">
        <f t="shared" si="18"/>
        <v>6846282</v>
      </c>
      <c r="N303" t="s">
        <v>984</v>
      </c>
      <c r="O303" t="s">
        <v>399</v>
      </c>
      <c r="P303" t="s">
        <v>11</v>
      </c>
      <c r="Q303" t="str">
        <f t="shared" si="19"/>
        <v>Kid</v>
      </c>
    </row>
    <row r="304" spans="1:17" x14ac:dyDescent="0.3">
      <c r="A304" t="s">
        <v>985</v>
      </c>
      <c r="B304">
        <v>2025</v>
      </c>
      <c r="C304" s="5" t="s">
        <v>240</v>
      </c>
      <c r="D304" t="s">
        <v>148</v>
      </c>
      <c r="E304" s="4">
        <v>8.1999999999999993</v>
      </c>
      <c r="F304" t="str">
        <f t="shared" si="16"/>
        <v>Watch</v>
      </c>
      <c r="G304" t="str">
        <f t="shared" si="17"/>
        <v>Good</v>
      </c>
      <c r="H304" t="str" cm="1">
        <f t="array" ref="H304">_xlfn.IFS(E304&gt;8,"Best",E304=7,"Good",E304&gt;7,"Good",E304&lt;7,"Avg",E304&lt;6,"Below Avg")</f>
        <v>Best</v>
      </c>
      <c r="I304">
        <v>145</v>
      </c>
      <c r="K304" s="3">
        <v>39054150</v>
      </c>
      <c r="L304" s="3">
        <v>11122020</v>
      </c>
      <c r="M304" s="3">
        <f t="shared" si="18"/>
        <v>27932130</v>
      </c>
      <c r="O304" t="s">
        <v>986</v>
      </c>
      <c r="P304" t="s">
        <v>4</v>
      </c>
      <c r="Q304" t="str">
        <f t="shared" si="19"/>
        <v>Adult</v>
      </c>
    </row>
    <row r="305" spans="1:17" x14ac:dyDescent="0.3">
      <c r="A305" t="s">
        <v>987</v>
      </c>
      <c r="B305">
        <v>2025</v>
      </c>
      <c r="C305" s="5" t="s">
        <v>240</v>
      </c>
      <c r="D305" t="s">
        <v>8</v>
      </c>
      <c r="E305" s="4">
        <v>6</v>
      </c>
      <c r="F305" t="str">
        <f t="shared" si="16"/>
        <v>Don't Watch</v>
      </c>
      <c r="G305" t="str">
        <f t="shared" si="17"/>
        <v>Avg</v>
      </c>
      <c r="H305" t="str" cm="1">
        <f t="array" ref="H305">_xlfn.IFS(E305&gt;8,"Best",E305=7,"Good",E305&gt;7,"Good",E305&lt;7,"Avg",E305&lt;6,"Below Avg")</f>
        <v>Avg</v>
      </c>
      <c r="I305">
        <v>126</v>
      </c>
      <c r="K305" s="3">
        <v>25369263</v>
      </c>
      <c r="L305" s="3">
        <v>19912842</v>
      </c>
      <c r="M305" s="3">
        <f t="shared" si="18"/>
        <v>5456421</v>
      </c>
      <c r="O305" t="s">
        <v>988</v>
      </c>
      <c r="P305" t="s">
        <v>11</v>
      </c>
      <c r="Q305" t="str">
        <f t="shared" si="19"/>
        <v>Kid</v>
      </c>
    </row>
    <row r="306" spans="1:17" x14ac:dyDescent="0.3">
      <c r="A306" t="s">
        <v>993</v>
      </c>
      <c r="B306">
        <v>2025</v>
      </c>
      <c r="C306" s="5" t="s">
        <v>240</v>
      </c>
      <c r="D306" t="s">
        <v>2</v>
      </c>
      <c r="E306" s="4">
        <v>8.1</v>
      </c>
      <c r="F306" t="str">
        <f t="shared" si="16"/>
        <v>Watch</v>
      </c>
      <c r="G306" t="str">
        <f t="shared" si="17"/>
        <v>Good</v>
      </c>
      <c r="H306" t="str" cm="1">
        <f t="array" ref="H306">_xlfn.IFS(E306&gt;8,"Best",E306=7,"Good",E306&gt;7,"Good",E306&lt;7,"Avg",E306&lt;6,"Below Avg")</f>
        <v>Best</v>
      </c>
      <c r="I306">
        <v>120</v>
      </c>
      <c r="K306" s="3">
        <v>38498650</v>
      </c>
      <c r="L306" s="3">
        <v>10998620</v>
      </c>
      <c r="M306" s="3">
        <f t="shared" si="18"/>
        <v>27500030</v>
      </c>
      <c r="N306" t="s">
        <v>994</v>
      </c>
      <c r="O306" t="s">
        <v>995</v>
      </c>
      <c r="P306" t="s">
        <v>4</v>
      </c>
      <c r="Q306" t="str">
        <f t="shared" si="19"/>
        <v>Adult</v>
      </c>
    </row>
    <row r="307" spans="1:17" x14ac:dyDescent="0.3">
      <c r="A307" t="s">
        <v>996</v>
      </c>
      <c r="B307">
        <v>2025</v>
      </c>
      <c r="C307" s="5" t="s">
        <v>240</v>
      </c>
      <c r="D307" t="s">
        <v>27</v>
      </c>
      <c r="E307" s="4">
        <v>8.6</v>
      </c>
      <c r="F307" t="str">
        <f t="shared" si="16"/>
        <v>Watch</v>
      </c>
      <c r="G307" t="str">
        <f t="shared" si="17"/>
        <v>Best</v>
      </c>
      <c r="H307" t="str" cm="1">
        <f t="array" ref="H307">_xlfn.IFS(E307&gt;8,"Best",E307=7,"Good",E307&gt;7,"Good",E307&lt;7,"Avg",E307&lt;6,"Below Avg")</f>
        <v>Best</v>
      </c>
      <c r="I307">
        <v>152</v>
      </c>
      <c r="K307" s="3">
        <v>28205646</v>
      </c>
      <c r="L307" s="3">
        <v>21803764</v>
      </c>
      <c r="M307" s="3">
        <f t="shared" si="18"/>
        <v>6401882</v>
      </c>
      <c r="O307" t="s">
        <v>396</v>
      </c>
      <c r="P307" t="s">
        <v>11</v>
      </c>
      <c r="Q307" t="str">
        <f t="shared" si="19"/>
        <v>Kid</v>
      </c>
    </row>
    <row r="308" spans="1:17" x14ac:dyDescent="0.3">
      <c r="A308" t="s">
        <v>997</v>
      </c>
      <c r="B308">
        <v>2025</v>
      </c>
      <c r="C308" s="5" t="s">
        <v>240</v>
      </c>
      <c r="D308" t="s">
        <v>61</v>
      </c>
      <c r="E308" s="4">
        <v>8.1999999999999993</v>
      </c>
      <c r="F308" t="str">
        <f t="shared" si="16"/>
        <v>Watch</v>
      </c>
      <c r="G308" t="str">
        <f t="shared" si="17"/>
        <v>Good</v>
      </c>
      <c r="H308" t="str" cm="1">
        <f t="array" ref="H308">_xlfn.IFS(E308&gt;8,"Best",E308=7,"Good",E308&gt;7,"Good",E308&lt;7,"Avg",E308&lt;6,"Below Avg")</f>
        <v>Best</v>
      </c>
      <c r="I308">
        <v>112</v>
      </c>
      <c r="K308" s="3">
        <v>31821951</v>
      </c>
      <c r="L308" s="3">
        <v>24214634</v>
      </c>
      <c r="M308" s="3">
        <f t="shared" si="18"/>
        <v>7607317</v>
      </c>
      <c r="N308" t="s">
        <v>998</v>
      </c>
      <c r="O308" t="s">
        <v>999</v>
      </c>
      <c r="P308" t="s">
        <v>11</v>
      </c>
      <c r="Q308" t="str">
        <f t="shared" si="19"/>
        <v>Kid</v>
      </c>
    </row>
    <row r="309" spans="1:17" x14ac:dyDescent="0.3">
      <c r="A309" t="s">
        <v>1000</v>
      </c>
      <c r="B309">
        <v>2025</v>
      </c>
      <c r="C309" s="5" t="s">
        <v>240</v>
      </c>
      <c r="D309" t="s">
        <v>93</v>
      </c>
      <c r="E309" s="4">
        <v>9.1</v>
      </c>
      <c r="F309" t="str">
        <f t="shared" si="16"/>
        <v>Watch</v>
      </c>
      <c r="G309" t="str">
        <f t="shared" si="17"/>
        <v>Best</v>
      </c>
      <c r="H309" t="str" cm="1">
        <f t="array" ref="H309">_xlfn.IFS(E309&gt;8,"Best",E309=7,"Good",E309&gt;7,"Good",E309&lt;7,"Avg",E309&lt;6,"Below Avg")</f>
        <v>Best</v>
      </c>
      <c r="I309">
        <v>103</v>
      </c>
      <c r="K309" s="3">
        <v>26792454</v>
      </c>
      <c r="L309" s="3">
        <v>20861636</v>
      </c>
      <c r="M309" s="3">
        <f t="shared" si="18"/>
        <v>5930818</v>
      </c>
      <c r="N309" t="s">
        <v>1001</v>
      </c>
      <c r="O309" t="s">
        <v>1002</v>
      </c>
      <c r="P309" t="s">
        <v>11</v>
      </c>
      <c r="Q309" t="str">
        <f t="shared" si="19"/>
        <v>Kid</v>
      </c>
    </row>
    <row r="310" spans="1:17" x14ac:dyDescent="0.3">
      <c r="A310" t="s">
        <v>1003</v>
      </c>
      <c r="B310">
        <v>2025</v>
      </c>
      <c r="C310" s="5" t="s">
        <v>240</v>
      </c>
      <c r="D310" t="s">
        <v>1004</v>
      </c>
      <c r="E310" s="4">
        <v>6.9</v>
      </c>
      <c r="F310" t="str">
        <f t="shared" si="16"/>
        <v>Watch</v>
      </c>
      <c r="G310" t="str">
        <f t="shared" si="17"/>
        <v>Avg</v>
      </c>
      <c r="H310" t="str" cm="1">
        <f t="array" ref="H310">_xlfn.IFS(E310&gt;8,"Best",E310=7,"Good",E310&gt;7,"Good",E310&lt;7,"Avg",E310&lt;6,"Below Avg")</f>
        <v>Avg</v>
      </c>
      <c r="I310">
        <v>144</v>
      </c>
      <c r="K310" s="3">
        <v>30678732</v>
      </c>
      <c r="L310" s="3">
        <v>23452488</v>
      </c>
      <c r="M310" s="3">
        <f t="shared" si="18"/>
        <v>7226244</v>
      </c>
      <c r="O310" t="s">
        <v>1005</v>
      </c>
      <c r="P310" t="s">
        <v>11</v>
      </c>
      <c r="Q310" t="str">
        <f t="shared" si="19"/>
        <v>Kid</v>
      </c>
    </row>
    <row r="311" spans="1:17" x14ac:dyDescent="0.3">
      <c r="A311" t="s">
        <v>1009</v>
      </c>
      <c r="B311">
        <v>2025</v>
      </c>
      <c r="C311" s="5" t="s">
        <v>240</v>
      </c>
      <c r="D311" t="s">
        <v>8</v>
      </c>
      <c r="E311" s="4">
        <v>6.5</v>
      </c>
      <c r="F311" t="str">
        <f t="shared" si="16"/>
        <v>Don't Watch</v>
      </c>
      <c r="G311" t="str">
        <f t="shared" si="17"/>
        <v>Avg</v>
      </c>
      <c r="H311" t="str" cm="1">
        <f t="array" ref="H311">_xlfn.IFS(E311&gt;8,"Best",E311=7,"Good",E311&gt;7,"Good",E311&lt;7,"Avg",E311&lt;6,"Below Avg")</f>
        <v>Avg</v>
      </c>
      <c r="I311">
        <v>140</v>
      </c>
      <c r="K311" s="3">
        <v>27915675</v>
      </c>
      <c r="L311" s="3">
        <v>21610450</v>
      </c>
      <c r="M311" s="3">
        <f t="shared" si="18"/>
        <v>6305225</v>
      </c>
      <c r="N311" t="s">
        <v>1010</v>
      </c>
      <c r="O311" t="s">
        <v>1011</v>
      </c>
      <c r="P311" t="s">
        <v>11</v>
      </c>
      <c r="Q311" t="str">
        <f t="shared" si="19"/>
        <v>Kid</v>
      </c>
    </row>
    <row r="312" spans="1:17" x14ac:dyDescent="0.3">
      <c r="A312" t="s">
        <v>1012</v>
      </c>
      <c r="B312">
        <v>2025</v>
      </c>
      <c r="C312" s="5" t="s">
        <v>240</v>
      </c>
      <c r="D312" t="s">
        <v>8</v>
      </c>
      <c r="E312" s="4">
        <v>9.1999999999999993</v>
      </c>
      <c r="F312" t="str">
        <f t="shared" si="16"/>
        <v>Watch</v>
      </c>
      <c r="G312" t="str">
        <f t="shared" si="17"/>
        <v>Best</v>
      </c>
      <c r="H312" t="str" cm="1">
        <f t="array" ref="H312">_xlfn.IFS(E312&gt;8,"Best",E312=7,"Good",E312&gt;7,"Good",E312&lt;7,"Avg",E312&lt;6,"Below Avg")</f>
        <v>Best</v>
      </c>
      <c r="I312">
        <v>146</v>
      </c>
      <c r="K312" s="3">
        <v>29435523</v>
      </c>
      <c r="L312" s="3">
        <v>22623682</v>
      </c>
      <c r="M312" s="3">
        <f t="shared" si="18"/>
        <v>6811841</v>
      </c>
      <c r="N312" t="s">
        <v>1013</v>
      </c>
      <c r="O312" t="s">
        <v>561</v>
      </c>
      <c r="P312" t="s">
        <v>11</v>
      </c>
      <c r="Q312" t="str">
        <f t="shared" si="19"/>
        <v>Kid</v>
      </c>
    </row>
    <row r="313" spans="1:17" x14ac:dyDescent="0.3">
      <c r="A313" t="s">
        <v>1014</v>
      </c>
      <c r="B313">
        <v>2025</v>
      </c>
      <c r="C313" s="5" t="s">
        <v>240</v>
      </c>
      <c r="D313" t="s">
        <v>35</v>
      </c>
      <c r="E313" s="4">
        <v>6.1</v>
      </c>
      <c r="F313" t="str">
        <f t="shared" si="16"/>
        <v>Don't Watch</v>
      </c>
      <c r="G313" t="str">
        <f t="shared" si="17"/>
        <v>Avg</v>
      </c>
      <c r="H313" t="str" cm="1">
        <f t="array" ref="H313">_xlfn.IFS(E313&gt;8,"Best",E313=7,"Good",E313&gt;7,"Good",E313&lt;7,"Avg",E313&lt;6,"Below Avg")</f>
        <v>Avg</v>
      </c>
      <c r="I313">
        <v>94</v>
      </c>
      <c r="K313" s="3">
        <v>33511782</v>
      </c>
      <c r="L313" s="3">
        <v>25341188</v>
      </c>
      <c r="M313" s="3">
        <f t="shared" si="18"/>
        <v>8170594</v>
      </c>
      <c r="N313" t="s">
        <v>1015</v>
      </c>
      <c r="O313" t="s">
        <v>1016</v>
      </c>
      <c r="P313" t="s">
        <v>11</v>
      </c>
      <c r="Q313" t="str">
        <f t="shared" si="19"/>
        <v>Kid</v>
      </c>
    </row>
    <row r="314" spans="1:17" x14ac:dyDescent="0.3">
      <c r="A314" t="s">
        <v>1017</v>
      </c>
      <c r="B314">
        <v>2025</v>
      </c>
      <c r="C314" s="5" t="s">
        <v>240</v>
      </c>
      <c r="D314" t="s">
        <v>8</v>
      </c>
      <c r="E314" s="4">
        <v>6.5</v>
      </c>
      <c r="F314" t="str">
        <f t="shared" si="16"/>
        <v>Don't Watch</v>
      </c>
      <c r="G314" t="str">
        <f t="shared" si="17"/>
        <v>Avg</v>
      </c>
      <c r="H314" t="str" cm="1">
        <f t="array" ref="H314">_xlfn.IFS(E314&gt;8,"Best",E314=7,"Good",E314&gt;7,"Good",E314&lt;7,"Avg",E314&lt;6,"Below Avg")</f>
        <v>Avg</v>
      </c>
      <c r="I314">
        <v>140</v>
      </c>
      <c r="K314" s="3">
        <v>30665400</v>
      </c>
      <c r="L314" s="3">
        <v>23443600</v>
      </c>
      <c r="M314" s="3">
        <f t="shared" si="18"/>
        <v>7221800</v>
      </c>
      <c r="N314" t="s">
        <v>1018</v>
      </c>
      <c r="O314" t="s">
        <v>1019</v>
      </c>
      <c r="P314" t="s">
        <v>11</v>
      </c>
      <c r="Q314" t="str">
        <f t="shared" si="19"/>
        <v>Kid</v>
      </c>
    </row>
    <row r="315" spans="1:17" x14ac:dyDescent="0.3">
      <c r="A315" t="s">
        <v>1157</v>
      </c>
      <c r="B315">
        <v>2025</v>
      </c>
      <c r="C315" s="5" t="s">
        <v>499</v>
      </c>
      <c r="D315" t="s">
        <v>93</v>
      </c>
      <c r="E315" s="4">
        <v>7.2</v>
      </c>
      <c r="F315" t="str">
        <f t="shared" si="16"/>
        <v>Watch</v>
      </c>
      <c r="G315" t="str">
        <f t="shared" si="17"/>
        <v>Good</v>
      </c>
      <c r="H315" t="str" cm="1">
        <f t="array" ref="H315">_xlfn.IFS(E315&gt;8,"Best",E315=7,"Good",E315&gt;7,"Good",E315&lt;7,"Avg",E315&lt;6,"Below Avg")</f>
        <v>Good</v>
      </c>
      <c r="I315">
        <v>162</v>
      </c>
      <c r="K315" s="3">
        <v>28488951</v>
      </c>
      <c r="L315" s="3">
        <v>21992634</v>
      </c>
      <c r="M315" s="3">
        <f t="shared" si="18"/>
        <v>6496317</v>
      </c>
      <c r="N315" t="s">
        <v>1158</v>
      </c>
      <c r="O315" t="s">
        <v>177</v>
      </c>
      <c r="P315" t="s">
        <v>11</v>
      </c>
      <c r="Q315" t="str">
        <f t="shared" si="19"/>
        <v>Kid</v>
      </c>
    </row>
    <row r="316" spans="1:17" x14ac:dyDescent="0.3">
      <c r="A316" t="s">
        <v>1182</v>
      </c>
      <c r="B316">
        <v>2025</v>
      </c>
      <c r="C316" s="5" t="s">
        <v>499</v>
      </c>
      <c r="D316" t="s">
        <v>93</v>
      </c>
      <c r="E316" s="4">
        <v>7.3</v>
      </c>
      <c r="F316" t="str">
        <f t="shared" si="16"/>
        <v>Watch</v>
      </c>
      <c r="G316" t="str">
        <f t="shared" si="17"/>
        <v>Good</v>
      </c>
      <c r="H316" t="str" cm="1">
        <f t="array" ref="H316">_xlfn.IFS(E316&gt;8,"Best",E316=7,"Good",E316&gt;7,"Good",E316&lt;7,"Avg",E316&lt;6,"Below Avg")</f>
        <v>Good</v>
      </c>
      <c r="I316">
        <v>136</v>
      </c>
      <c r="K316" s="3">
        <v>26402493</v>
      </c>
      <c r="L316" s="3">
        <v>20601662</v>
      </c>
      <c r="M316" s="3">
        <f t="shared" si="18"/>
        <v>5800831</v>
      </c>
      <c r="O316" t="s">
        <v>1095</v>
      </c>
      <c r="P316" t="s">
        <v>11</v>
      </c>
      <c r="Q316" t="str">
        <f t="shared" si="19"/>
        <v>Kid</v>
      </c>
    </row>
    <row r="317" spans="1:17" x14ac:dyDescent="0.3">
      <c r="A317" t="s">
        <v>1186</v>
      </c>
      <c r="B317">
        <v>2025</v>
      </c>
      <c r="C317" s="5" t="s">
        <v>499</v>
      </c>
      <c r="D317" t="s">
        <v>49</v>
      </c>
      <c r="E317" s="4">
        <v>8</v>
      </c>
      <c r="F317" t="str">
        <f t="shared" si="16"/>
        <v>Watch</v>
      </c>
      <c r="G317" t="str">
        <f t="shared" si="17"/>
        <v>Good</v>
      </c>
      <c r="H317" t="str" cm="1">
        <f t="array" ref="H317">_xlfn.IFS(E317&gt;8,"Best",E317=7,"Good",E317&gt;7,"Good",E317&lt;7,"Avg",E317&lt;6,"Below Avg")</f>
        <v>Good</v>
      </c>
      <c r="I317">
        <v>116</v>
      </c>
      <c r="K317" s="3">
        <v>27085758</v>
      </c>
      <c r="L317" s="3">
        <v>21057172</v>
      </c>
      <c r="M317" s="3">
        <f t="shared" si="18"/>
        <v>6028586</v>
      </c>
      <c r="N317" t="s">
        <v>1187</v>
      </c>
      <c r="O317" t="s">
        <v>315</v>
      </c>
      <c r="P317" t="s">
        <v>11</v>
      </c>
      <c r="Q317" t="str">
        <f t="shared" si="19"/>
        <v>Kid</v>
      </c>
    </row>
    <row r="318" spans="1:17" x14ac:dyDescent="0.3">
      <c r="A318" t="s">
        <v>1198</v>
      </c>
      <c r="B318">
        <v>2025</v>
      </c>
      <c r="C318" s="5" t="s">
        <v>499</v>
      </c>
      <c r="D318" t="s">
        <v>8</v>
      </c>
      <c r="E318" s="4">
        <v>6.3</v>
      </c>
      <c r="F318" t="str">
        <f t="shared" si="16"/>
        <v>Don't Watch</v>
      </c>
      <c r="G318" t="str">
        <f t="shared" si="17"/>
        <v>Avg</v>
      </c>
      <c r="H318" t="str" cm="1">
        <f t="array" ref="H318">_xlfn.IFS(E318&gt;8,"Best",E318=7,"Good",E318&gt;7,"Good",E318&lt;7,"Avg",E318&lt;6,"Below Avg")</f>
        <v>Avg</v>
      </c>
      <c r="I318">
        <v>159</v>
      </c>
      <c r="K318" s="3">
        <v>31978602</v>
      </c>
      <c r="L318" s="3">
        <v>24319068</v>
      </c>
      <c r="M318" s="3">
        <f t="shared" si="18"/>
        <v>7659534</v>
      </c>
      <c r="N318" t="s">
        <v>1199</v>
      </c>
      <c r="O318" t="s">
        <v>1200</v>
      </c>
      <c r="P318" t="s">
        <v>11</v>
      </c>
      <c r="Q318" t="str">
        <f t="shared" si="19"/>
        <v>Kid</v>
      </c>
    </row>
    <row r="319" spans="1:17" x14ac:dyDescent="0.3">
      <c r="A319" t="s">
        <v>1201</v>
      </c>
      <c r="B319">
        <v>2025</v>
      </c>
      <c r="C319" s="5" t="s">
        <v>499</v>
      </c>
      <c r="D319" t="s">
        <v>127</v>
      </c>
      <c r="E319" s="4">
        <v>7.3</v>
      </c>
      <c r="F319" t="str">
        <f t="shared" si="16"/>
        <v>Watch</v>
      </c>
      <c r="G319" t="str">
        <f t="shared" si="17"/>
        <v>Good</v>
      </c>
      <c r="H319" t="str" cm="1">
        <f t="array" ref="H319">_xlfn.IFS(E319&gt;8,"Best",E319=7,"Good",E319&gt;7,"Good",E319&lt;7,"Avg",E319&lt;6,"Below Avg")</f>
        <v>Good</v>
      </c>
      <c r="I319">
        <v>139</v>
      </c>
      <c r="K319" s="3">
        <v>28162317</v>
      </c>
      <c r="L319" s="3">
        <v>21774878</v>
      </c>
      <c r="M319" s="3">
        <f t="shared" si="18"/>
        <v>6387439</v>
      </c>
      <c r="O319" t="s">
        <v>149</v>
      </c>
      <c r="P319" t="s">
        <v>11</v>
      </c>
      <c r="Q319" t="str">
        <f t="shared" si="19"/>
        <v>Kid</v>
      </c>
    </row>
    <row r="320" spans="1:17" x14ac:dyDescent="0.3">
      <c r="A320" t="s">
        <v>1214</v>
      </c>
      <c r="B320">
        <v>2025</v>
      </c>
      <c r="C320" s="5" t="s">
        <v>499</v>
      </c>
      <c r="D320" t="s">
        <v>8</v>
      </c>
      <c r="E320" s="4">
        <v>6.7</v>
      </c>
      <c r="F320" t="str">
        <f t="shared" si="16"/>
        <v>Watch</v>
      </c>
      <c r="G320" t="str">
        <f t="shared" si="17"/>
        <v>Avg</v>
      </c>
      <c r="H320" t="str" cm="1">
        <f t="array" ref="H320">_xlfn.IFS(E320&gt;8,"Best",E320=7,"Good",E320&gt;7,"Good",E320&lt;7,"Avg",E320&lt;6,"Below Avg")</f>
        <v>Avg</v>
      </c>
      <c r="I320">
        <v>124</v>
      </c>
      <c r="K320" s="3">
        <v>28362297</v>
      </c>
      <c r="L320" s="3">
        <v>21908198</v>
      </c>
      <c r="M320" s="3">
        <f t="shared" si="18"/>
        <v>6454099</v>
      </c>
      <c r="O320" t="s">
        <v>1215</v>
      </c>
      <c r="P320" t="s">
        <v>11</v>
      </c>
      <c r="Q320" t="str">
        <f t="shared" si="19"/>
        <v>Kid</v>
      </c>
    </row>
    <row r="321" spans="1:17" x14ac:dyDescent="0.3">
      <c r="A321" t="s">
        <v>1216</v>
      </c>
      <c r="B321">
        <v>2025</v>
      </c>
      <c r="C321" s="5" t="s">
        <v>499</v>
      </c>
      <c r="D321" t="s">
        <v>8</v>
      </c>
      <c r="E321" s="4">
        <v>7.8</v>
      </c>
      <c r="F321" t="str">
        <f t="shared" si="16"/>
        <v>Watch</v>
      </c>
      <c r="G321" t="str">
        <f t="shared" si="17"/>
        <v>Good</v>
      </c>
      <c r="H321" t="str" cm="1">
        <f t="array" ref="H321">_xlfn.IFS(E321&gt;8,"Best",E321=7,"Good",E321&gt;7,"Good",E321&lt;7,"Avg",E321&lt;6,"Below Avg")</f>
        <v>Good</v>
      </c>
      <c r="I321">
        <v>90</v>
      </c>
      <c r="K321" s="3">
        <v>32248575</v>
      </c>
      <c r="L321" s="3">
        <v>24499050</v>
      </c>
      <c r="M321" s="3">
        <f t="shared" si="18"/>
        <v>7749525</v>
      </c>
      <c r="O321" t="s">
        <v>1217</v>
      </c>
      <c r="P321" t="s">
        <v>11</v>
      </c>
      <c r="Q321" t="str">
        <f t="shared" si="19"/>
        <v>Kid</v>
      </c>
    </row>
    <row r="322" spans="1:17" x14ac:dyDescent="0.3">
      <c r="A322" t="s">
        <v>1218</v>
      </c>
      <c r="B322">
        <v>2025</v>
      </c>
      <c r="C322" s="5" t="s">
        <v>499</v>
      </c>
      <c r="D322" t="s">
        <v>35</v>
      </c>
      <c r="E322" s="4">
        <v>7.9</v>
      </c>
      <c r="F322" t="str">
        <f t="shared" ref="F322:F385" si="20">IF(E322&gt;6.5,"Watch","Don't Watch")</f>
        <v>Watch</v>
      </c>
      <c r="G322" t="str">
        <f t="shared" ref="G322:G385" si="21">IF(E322&gt;8.5,"Best",IF(E322&gt;7,"Good",IF(E322&gt;5,"Avg",IF(E322&lt;5,"Below Avg",IF(E322&lt;3,"Bad",)))))</f>
        <v>Good</v>
      </c>
      <c r="H322" t="str" cm="1">
        <f t="array" ref="H322">_xlfn.IFS(E322&gt;8,"Best",E322=7,"Good",E322&gt;7,"Good",E322&lt;7,"Avg",E322&lt;6,"Below Avg")</f>
        <v>Good</v>
      </c>
      <c r="I322">
        <v>124</v>
      </c>
      <c r="K322" s="3">
        <v>29612172</v>
      </c>
      <c r="L322" s="3">
        <v>22741448</v>
      </c>
      <c r="M322" s="3">
        <f t="shared" ref="M322:M385" si="22" xml:space="preserve"> (K322-L322)</f>
        <v>6870724</v>
      </c>
      <c r="N322" t="s">
        <v>1219</v>
      </c>
      <c r="O322" t="s">
        <v>1220</v>
      </c>
      <c r="P322" t="s">
        <v>11</v>
      </c>
      <c r="Q322" t="str">
        <f t="shared" ref="Q322:Q385" si="23">IF(P322="R","Adult","Kid")</f>
        <v>Kid</v>
      </c>
    </row>
    <row r="323" spans="1:17" x14ac:dyDescent="0.3">
      <c r="A323" t="s">
        <v>1159</v>
      </c>
      <c r="B323">
        <v>2025</v>
      </c>
      <c r="C323" s="5" t="s">
        <v>499</v>
      </c>
      <c r="D323" t="s">
        <v>27</v>
      </c>
      <c r="E323" s="4">
        <v>8.4</v>
      </c>
      <c r="F323" t="str">
        <f t="shared" si="20"/>
        <v>Watch</v>
      </c>
      <c r="G323" t="str">
        <f t="shared" si="21"/>
        <v>Good</v>
      </c>
      <c r="H323" t="str" cm="1">
        <f t="array" ref="H323">_xlfn.IFS(E323&gt;8,"Best",E323=7,"Good",E323&gt;7,"Good",E323&lt;7,"Avg",E323&lt;6,"Below Avg")</f>
        <v>Best</v>
      </c>
      <c r="I323">
        <v>99</v>
      </c>
      <c r="K323" s="3">
        <v>28528947</v>
      </c>
      <c r="L323" s="3">
        <v>22019298</v>
      </c>
      <c r="M323" s="3">
        <f t="shared" si="22"/>
        <v>6509649</v>
      </c>
      <c r="O323" t="s">
        <v>1160</v>
      </c>
      <c r="P323" t="s">
        <v>11</v>
      </c>
      <c r="Q323" t="str">
        <f t="shared" si="23"/>
        <v>Kid</v>
      </c>
    </row>
    <row r="324" spans="1:17" x14ac:dyDescent="0.3">
      <c r="A324" t="s">
        <v>1161</v>
      </c>
      <c r="B324">
        <v>2025</v>
      </c>
      <c r="C324" s="5" t="s">
        <v>499</v>
      </c>
      <c r="D324" t="s">
        <v>27</v>
      </c>
      <c r="E324" s="4">
        <v>8.6999999999999993</v>
      </c>
      <c r="F324" t="str">
        <f t="shared" si="20"/>
        <v>Watch</v>
      </c>
      <c r="G324" t="str">
        <f t="shared" si="21"/>
        <v>Best</v>
      </c>
      <c r="H324" t="str" cm="1">
        <f t="array" ref="H324">_xlfn.IFS(E324&gt;8,"Best",E324=7,"Good",E324&gt;7,"Good",E324&lt;7,"Avg",E324&lt;6,"Below Avg")</f>
        <v>Best</v>
      </c>
      <c r="I324">
        <v>114</v>
      </c>
      <c r="K324" s="3">
        <v>30078792</v>
      </c>
      <c r="L324" s="3">
        <v>23052528</v>
      </c>
      <c r="M324" s="3">
        <f t="shared" si="22"/>
        <v>7026264</v>
      </c>
      <c r="N324" t="s">
        <v>1162</v>
      </c>
      <c r="O324" t="s">
        <v>1163</v>
      </c>
      <c r="P324" t="s">
        <v>11</v>
      </c>
      <c r="Q324" t="str">
        <f t="shared" si="23"/>
        <v>Kid</v>
      </c>
    </row>
    <row r="325" spans="1:17" x14ac:dyDescent="0.3">
      <c r="A325" t="s">
        <v>1164</v>
      </c>
      <c r="B325">
        <v>2025</v>
      </c>
      <c r="C325" s="5" t="s">
        <v>499</v>
      </c>
      <c r="D325" t="s">
        <v>39</v>
      </c>
      <c r="E325" s="4">
        <v>7.5</v>
      </c>
      <c r="F325" t="str">
        <f t="shared" si="20"/>
        <v>Watch</v>
      </c>
      <c r="G325" t="str">
        <f t="shared" si="21"/>
        <v>Good</v>
      </c>
      <c r="H325" t="str" cm="1">
        <f t="array" ref="H325">_xlfn.IFS(E325&gt;8,"Best",E325=7,"Good",E325&gt;7,"Good",E325&lt;7,"Avg",E325&lt;6,"Below Avg")</f>
        <v>Good</v>
      </c>
      <c r="I325">
        <v>105</v>
      </c>
      <c r="K325" s="3">
        <v>29048895</v>
      </c>
      <c r="L325" s="3">
        <v>22365930</v>
      </c>
      <c r="M325" s="3">
        <f t="shared" si="22"/>
        <v>6682965</v>
      </c>
      <c r="N325" t="s">
        <v>1165</v>
      </c>
      <c r="O325" t="s">
        <v>1166</v>
      </c>
      <c r="P325" t="s">
        <v>11</v>
      </c>
      <c r="Q325" t="str">
        <f t="shared" si="23"/>
        <v>Kid</v>
      </c>
    </row>
    <row r="326" spans="1:17" x14ac:dyDescent="0.3">
      <c r="A326" t="s">
        <v>1167</v>
      </c>
      <c r="B326">
        <v>2025</v>
      </c>
      <c r="C326" s="5" t="s">
        <v>499</v>
      </c>
      <c r="D326" t="s">
        <v>8</v>
      </c>
      <c r="E326" s="4">
        <v>7.4</v>
      </c>
      <c r="F326" t="str">
        <f t="shared" si="20"/>
        <v>Watch</v>
      </c>
      <c r="G326" t="str">
        <f t="shared" si="21"/>
        <v>Good</v>
      </c>
      <c r="H326" t="str" cm="1">
        <f t="array" ref="H326">_xlfn.IFS(E326&gt;8,"Best",E326=7,"Good",E326&gt;7,"Good",E326&lt;7,"Avg",E326&lt;6,"Below Avg")</f>
        <v>Good</v>
      </c>
      <c r="I326">
        <v>104</v>
      </c>
      <c r="K326" s="3">
        <v>29045562</v>
      </c>
      <c r="L326" s="3">
        <v>22363708</v>
      </c>
      <c r="M326" s="3">
        <f t="shared" si="22"/>
        <v>6681854</v>
      </c>
      <c r="N326" t="s">
        <v>1168</v>
      </c>
      <c r="O326" t="s">
        <v>1169</v>
      </c>
      <c r="P326" t="s">
        <v>11</v>
      </c>
      <c r="Q326" t="str">
        <f t="shared" si="23"/>
        <v>Kid</v>
      </c>
    </row>
    <row r="327" spans="1:17" x14ac:dyDescent="0.3">
      <c r="A327" t="s">
        <v>1170</v>
      </c>
      <c r="B327">
        <v>2025</v>
      </c>
      <c r="C327" s="5" t="s">
        <v>499</v>
      </c>
      <c r="D327" t="s">
        <v>8</v>
      </c>
      <c r="E327" s="4">
        <v>6.5</v>
      </c>
      <c r="F327" t="str">
        <f t="shared" si="20"/>
        <v>Don't Watch</v>
      </c>
      <c r="G327" t="str">
        <f t="shared" si="21"/>
        <v>Avg</v>
      </c>
      <c r="H327" t="str" cm="1">
        <f t="array" ref="H327">_xlfn.IFS(E327&gt;8,"Best",E327=7,"Good",E327&gt;7,"Good",E327&lt;7,"Avg",E327&lt;6,"Below Avg")</f>
        <v>Avg</v>
      </c>
      <c r="I327">
        <v>164</v>
      </c>
      <c r="K327" s="3">
        <v>28245642</v>
      </c>
      <c r="L327" s="3">
        <v>21830428</v>
      </c>
      <c r="M327" s="3">
        <f t="shared" si="22"/>
        <v>6415214</v>
      </c>
      <c r="N327" t="s">
        <v>1171</v>
      </c>
      <c r="O327" t="s">
        <v>1172</v>
      </c>
      <c r="P327" t="s">
        <v>11</v>
      </c>
      <c r="Q327" t="str">
        <f t="shared" si="23"/>
        <v>Kid</v>
      </c>
    </row>
    <row r="328" spans="1:17" x14ac:dyDescent="0.3">
      <c r="A328" t="s">
        <v>1173</v>
      </c>
      <c r="B328">
        <v>2025</v>
      </c>
      <c r="C328" s="5" t="s">
        <v>499</v>
      </c>
      <c r="D328" t="s">
        <v>8</v>
      </c>
      <c r="E328" s="4">
        <v>8.9</v>
      </c>
      <c r="F328" t="str">
        <f t="shared" si="20"/>
        <v>Watch</v>
      </c>
      <c r="G328" t="str">
        <f t="shared" si="21"/>
        <v>Best</v>
      </c>
      <c r="H328" t="str" cm="1">
        <f t="array" ref="H328">_xlfn.IFS(E328&gt;8,"Best",E328=7,"Good",E328&gt;7,"Good",E328&lt;7,"Avg",E328&lt;6,"Below Avg")</f>
        <v>Best</v>
      </c>
      <c r="I328">
        <v>131</v>
      </c>
      <c r="K328" s="3">
        <v>27885678</v>
      </c>
      <c r="L328" s="3">
        <v>21590452</v>
      </c>
      <c r="M328" s="3">
        <f t="shared" si="22"/>
        <v>6295226</v>
      </c>
      <c r="N328" t="s">
        <v>1174</v>
      </c>
      <c r="O328" t="s">
        <v>1175</v>
      </c>
      <c r="P328" t="s">
        <v>11</v>
      </c>
      <c r="Q328" t="str">
        <f t="shared" si="23"/>
        <v>Kid</v>
      </c>
    </row>
    <row r="329" spans="1:17" x14ac:dyDescent="0.3">
      <c r="A329" t="s">
        <v>1176</v>
      </c>
      <c r="B329">
        <v>2025</v>
      </c>
      <c r="C329" s="5" t="s">
        <v>499</v>
      </c>
      <c r="D329" t="s">
        <v>27</v>
      </c>
      <c r="E329" s="4">
        <v>6.8</v>
      </c>
      <c r="F329" t="str">
        <f t="shared" si="20"/>
        <v>Watch</v>
      </c>
      <c r="G329" t="str">
        <f t="shared" si="21"/>
        <v>Avg</v>
      </c>
      <c r="H329" t="str" cm="1">
        <f t="array" ref="H329">_xlfn.IFS(E329&gt;8,"Best",E329=7,"Good",E329&gt;7,"Good",E329&lt;7,"Avg",E329&lt;6,"Below Avg")</f>
        <v>Avg</v>
      </c>
      <c r="I329">
        <v>113</v>
      </c>
      <c r="K329" s="3">
        <v>29575509</v>
      </c>
      <c r="L329" s="3">
        <v>22717006</v>
      </c>
      <c r="M329" s="3">
        <f t="shared" si="22"/>
        <v>6858503</v>
      </c>
      <c r="N329" t="s">
        <v>1177</v>
      </c>
      <c r="O329" t="s">
        <v>1178</v>
      </c>
      <c r="P329" t="s">
        <v>11</v>
      </c>
      <c r="Q329" t="str">
        <f t="shared" si="23"/>
        <v>Kid</v>
      </c>
    </row>
    <row r="330" spans="1:17" x14ac:dyDescent="0.3">
      <c r="A330" t="s">
        <v>1179</v>
      </c>
      <c r="B330">
        <v>2025</v>
      </c>
      <c r="C330" s="5" t="s">
        <v>499</v>
      </c>
      <c r="D330" t="s">
        <v>8</v>
      </c>
      <c r="E330" s="4">
        <v>6.8</v>
      </c>
      <c r="F330" t="str">
        <f t="shared" si="20"/>
        <v>Watch</v>
      </c>
      <c r="G330" t="str">
        <f t="shared" si="21"/>
        <v>Avg</v>
      </c>
      <c r="H330" t="str" cm="1">
        <f t="array" ref="H330">_xlfn.IFS(E330&gt;8,"Best",E330=7,"Good",E330&gt;7,"Good",E330&lt;7,"Avg",E330&lt;6,"Below Avg")</f>
        <v>Avg</v>
      </c>
      <c r="I330">
        <v>110</v>
      </c>
      <c r="K330" s="3">
        <v>30565410</v>
      </c>
      <c r="L330" s="3">
        <v>23376940</v>
      </c>
      <c r="M330" s="3">
        <f t="shared" si="22"/>
        <v>7188470</v>
      </c>
      <c r="O330" t="s">
        <v>1180</v>
      </c>
      <c r="P330" t="s">
        <v>11</v>
      </c>
      <c r="Q330" t="str">
        <f t="shared" si="23"/>
        <v>Kid</v>
      </c>
    </row>
    <row r="331" spans="1:17" x14ac:dyDescent="0.3">
      <c r="A331" t="s">
        <v>1181</v>
      </c>
      <c r="B331">
        <v>2025</v>
      </c>
      <c r="C331" s="5" t="s">
        <v>499</v>
      </c>
      <c r="D331" t="s">
        <v>39</v>
      </c>
      <c r="E331" s="4">
        <v>6.7</v>
      </c>
      <c r="F331" t="str">
        <f t="shared" si="20"/>
        <v>Watch</v>
      </c>
      <c r="G331" t="str">
        <f t="shared" si="21"/>
        <v>Avg</v>
      </c>
      <c r="H331" t="str" cm="1">
        <f t="array" ref="H331">_xlfn.IFS(E331&gt;8,"Best",E331=7,"Good",E331&gt;7,"Good",E331&lt;7,"Avg",E331&lt;6,"Below Avg")</f>
        <v>Avg</v>
      </c>
      <c r="I331">
        <v>115</v>
      </c>
      <c r="K331" s="3">
        <v>28582275</v>
      </c>
      <c r="L331" s="3">
        <v>22054850</v>
      </c>
      <c r="M331" s="3">
        <f t="shared" si="22"/>
        <v>6527425</v>
      </c>
      <c r="O331" t="s">
        <v>955</v>
      </c>
      <c r="P331" t="s">
        <v>11</v>
      </c>
      <c r="Q331" t="str">
        <f t="shared" si="23"/>
        <v>Kid</v>
      </c>
    </row>
    <row r="332" spans="1:17" x14ac:dyDescent="0.3">
      <c r="A332" t="s">
        <v>1183</v>
      </c>
      <c r="B332">
        <v>2025</v>
      </c>
      <c r="C332" s="5" t="s">
        <v>499</v>
      </c>
      <c r="D332" t="s">
        <v>39</v>
      </c>
      <c r="E332" s="4">
        <v>6.9</v>
      </c>
      <c r="F332" t="str">
        <f t="shared" si="20"/>
        <v>Watch</v>
      </c>
      <c r="G332" t="str">
        <f t="shared" si="21"/>
        <v>Avg</v>
      </c>
      <c r="H332" t="str" cm="1">
        <f t="array" ref="H332">_xlfn.IFS(E332&gt;8,"Best",E332=7,"Good",E332&gt;7,"Good",E332&lt;7,"Avg",E332&lt;6,"Below Avg")</f>
        <v>Avg</v>
      </c>
      <c r="I332">
        <v>162</v>
      </c>
      <c r="K332" s="3">
        <v>27489051</v>
      </c>
      <c r="L332" s="3">
        <v>21326034</v>
      </c>
      <c r="M332" s="3">
        <f t="shared" si="22"/>
        <v>6163017</v>
      </c>
      <c r="N332" t="s">
        <v>1184</v>
      </c>
      <c r="O332" t="s">
        <v>1185</v>
      </c>
      <c r="P332" t="s">
        <v>11</v>
      </c>
      <c r="Q332" t="str">
        <f t="shared" si="23"/>
        <v>Kid</v>
      </c>
    </row>
    <row r="333" spans="1:17" x14ac:dyDescent="0.3">
      <c r="A333" t="s">
        <v>1188</v>
      </c>
      <c r="B333">
        <v>2025</v>
      </c>
      <c r="C333" s="5" t="s">
        <v>499</v>
      </c>
      <c r="D333" t="s">
        <v>85</v>
      </c>
      <c r="E333" s="4">
        <v>8.8000000000000007</v>
      </c>
      <c r="F333" t="str">
        <f t="shared" si="20"/>
        <v>Watch</v>
      </c>
      <c r="G333" t="str">
        <f t="shared" si="21"/>
        <v>Best</v>
      </c>
      <c r="H333" t="str" cm="1">
        <f t="array" ref="H333">_xlfn.IFS(E333&gt;8,"Best",E333=7,"Good",E333&gt;7,"Good",E333&lt;7,"Avg",E333&lt;6,"Below Avg")</f>
        <v>Best</v>
      </c>
      <c r="I333">
        <v>133</v>
      </c>
      <c r="K333" s="3">
        <v>44403615</v>
      </c>
      <c r="L333" s="3">
        <v>12310362</v>
      </c>
      <c r="M333" s="3">
        <f t="shared" si="22"/>
        <v>32093253</v>
      </c>
      <c r="N333" t="s">
        <v>1189</v>
      </c>
      <c r="O333" t="s">
        <v>1190</v>
      </c>
      <c r="P333" t="s">
        <v>4</v>
      </c>
      <c r="Q333" t="str">
        <f t="shared" si="23"/>
        <v>Adult</v>
      </c>
    </row>
    <row r="334" spans="1:17" x14ac:dyDescent="0.3">
      <c r="A334" t="s">
        <v>1191</v>
      </c>
      <c r="B334">
        <v>2025</v>
      </c>
      <c r="C334" s="5" t="s">
        <v>499</v>
      </c>
      <c r="D334" t="s">
        <v>39</v>
      </c>
      <c r="E334" s="4">
        <v>8.6999999999999993</v>
      </c>
      <c r="F334" t="str">
        <f t="shared" si="20"/>
        <v>Watch</v>
      </c>
      <c r="G334" t="str">
        <f t="shared" si="21"/>
        <v>Best</v>
      </c>
      <c r="H334" t="str" cm="1">
        <f t="array" ref="H334">_xlfn.IFS(E334&gt;8,"Best",E334=7,"Good",E334&gt;7,"Good",E334&lt;7,"Avg",E334&lt;6,"Below Avg")</f>
        <v>Best</v>
      </c>
      <c r="I334">
        <v>138</v>
      </c>
      <c r="K334" s="3">
        <v>30408759</v>
      </c>
      <c r="L334" s="3">
        <v>23272506</v>
      </c>
      <c r="M334" s="3">
        <f t="shared" si="22"/>
        <v>7136253</v>
      </c>
      <c r="N334" t="s">
        <v>1192</v>
      </c>
      <c r="O334" t="s">
        <v>120</v>
      </c>
      <c r="P334" t="s">
        <v>11</v>
      </c>
      <c r="Q334" t="str">
        <f t="shared" si="23"/>
        <v>Kid</v>
      </c>
    </row>
    <row r="335" spans="1:17" x14ac:dyDescent="0.3">
      <c r="A335" t="s">
        <v>1193</v>
      </c>
      <c r="B335">
        <v>2025</v>
      </c>
      <c r="C335" s="5" t="s">
        <v>499</v>
      </c>
      <c r="D335" t="s">
        <v>127</v>
      </c>
      <c r="E335" s="4">
        <v>6.1</v>
      </c>
      <c r="F335" t="str">
        <f t="shared" si="20"/>
        <v>Don't Watch</v>
      </c>
      <c r="G335" t="str">
        <f t="shared" si="21"/>
        <v>Avg</v>
      </c>
      <c r="H335" t="str" cm="1">
        <f t="array" ref="H335">_xlfn.IFS(E335&gt;8,"Best",E335=7,"Good",E335&gt;7,"Good",E335&lt;7,"Avg",E335&lt;6,"Below Avg")</f>
        <v>Avg</v>
      </c>
      <c r="I335">
        <v>154</v>
      </c>
      <c r="K335" s="3">
        <v>27462387</v>
      </c>
      <c r="L335" s="3">
        <v>21308258</v>
      </c>
      <c r="M335" s="3">
        <f t="shared" si="22"/>
        <v>6154129</v>
      </c>
      <c r="O335" t="s">
        <v>1194</v>
      </c>
      <c r="P335" t="s">
        <v>11</v>
      </c>
      <c r="Q335" t="str">
        <f t="shared" si="23"/>
        <v>Kid</v>
      </c>
    </row>
    <row r="336" spans="1:17" x14ac:dyDescent="0.3">
      <c r="A336" t="s">
        <v>1195</v>
      </c>
      <c r="B336">
        <v>2025</v>
      </c>
      <c r="C336" s="5" t="s">
        <v>499</v>
      </c>
      <c r="D336" t="s">
        <v>8</v>
      </c>
      <c r="E336" s="4">
        <v>8</v>
      </c>
      <c r="F336" t="str">
        <f t="shared" si="20"/>
        <v>Watch</v>
      </c>
      <c r="G336" t="str">
        <f t="shared" si="21"/>
        <v>Good</v>
      </c>
      <c r="H336" t="str" cm="1">
        <f t="array" ref="H336">_xlfn.IFS(E336&gt;8,"Best",E336=7,"Good",E336&gt;7,"Good",E336&lt;7,"Avg",E336&lt;6,"Below Avg")</f>
        <v>Good</v>
      </c>
      <c r="I336">
        <v>122</v>
      </c>
      <c r="K336" s="3">
        <v>27855681</v>
      </c>
      <c r="L336" s="3">
        <v>21570454</v>
      </c>
      <c r="M336" s="3">
        <f t="shared" si="22"/>
        <v>6285227</v>
      </c>
      <c r="N336" t="s">
        <v>773</v>
      </c>
      <c r="O336" t="s">
        <v>1196</v>
      </c>
      <c r="P336" t="s">
        <v>11</v>
      </c>
      <c r="Q336" t="str">
        <f t="shared" si="23"/>
        <v>Kid</v>
      </c>
    </row>
    <row r="337" spans="1:17" x14ac:dyDescent="0.3">
      <c r="A337" t="s">
        <v>1197</v>
      </c>
      <c r="B337">
        <v>2025</v>
      </c>
      <c r="C337" s="5" t="s">
        <v>499</v>
      </c>
      <c r="D337" t="s">
        <v>39</v>
      </c>
      <c r="E337" s="4">
        <v>6.6</v>
      </c>
      <c r="F337" t="str">
        <f t="shared" si="20"/>
        <v>Watch</v>
      </c>
      <c r="G337" t="str">
        <f t="shared" si="21"/>
        <v>Avg</v>
      </c>
      <c r="H337" t="str" cm="1">
        <f t="array" ref="H337">_xlfn.IFS(E337&gt;8,"Best",E337=7,"Good",E337&gt;7,"Good",E337&lt;7,"Avg",E337&lt;6,"Below Avg")</f>
        <v>Avg</v>
      </c>
      <c r="I337">
        <v>162</v>
      </c>
      <c r="K337" s="3">
        <v>29238876</v>
      </c>
      <c r="L337" s="3">
        <v>22492584</v>
      </c>
      <c r="M337" s="3">
        <f t="shared" si="22"/>
        <v>6746292</v>
      </c>
      <c r="O337" t="s">
        <v>726</v>
      </c>
      <c r="P337" t="s">
        <v>11</v>
      </c>
      <c r="Q337" t="str">
        <f t="shared" si="23"/>
        <v>Kid</v>
      </c>
    </row>
    <row r="338" spans="1:17" x14ac:dyDescent="0.3">
      <c r="A338" t="s">
        <v>1202</v>
      </c>
      <c r="B338">
        <v>2025</v>
      </c>
      <c r="C338" s="5" t="s">
        <v>499</v>
      </c>
      <c r="D338" t="s">
        <v>27</v>
      </c>
      <c r="E338" s="4">
        <v>8.9</v>
      </c>
      <c r="F338" t="str">
        <f t="shared" si="20"/>
        <v>Watch</v>
      </c>
      <c r="G338" t="str">
        <f t="shared" si="21"/>
        <v>Best</v>
      </c>
      <c r="H338" t="str" cm="1">
        <f t="array" ref="H338">_xlfn.IFS(E338&gt;8,"Best",E338=7,"Good",E338&gt;7,"Good",E338&lt;7,"Avg",E338&lt;6,"Below Avg")</f>
        <v>Best</v>
      </c>
      <c r="I338">
        <v>95</v>
      </c>
      <c r="K338" s="3">
        <v>26015865</v>
      </c>
      <c r="L338" s="3">
        <v>20343910</v>
      </c>
      <c r="M338" s="3">
        <f t="shared" si="22"/>
        <v>5671955</v>
      </c>
      <c r="N338" t="s">
        <v>1203</v>
      </c>
      <c r="O338" t="s">
        <v>1204</v>
      </c>
      <c r="P338" t="s">
        <v>11</v>
      </c>
      <c r="Q338" t="str">
        <f t="shared" si="23"/>
        <v>Kid</v>
      </c>
    </row>
    <row r="339" spans="1:17" x14ac:dyDescent="0.3">
      <c r="A339" t="s">
        <v>1205</v>
      </c>
      <c r="B339">
        <v>2025</v>
      </c>
      <c r="C339" s="5" t="s">
        <v>499</v>
      </c>
      <c r="D339" t="s">
        <v>35</v>
      </c>
      <c r="E339" s="4">
        <v>8.6</v>
      </c>
      <c r="F339" t="str">
        <f t="shared" si="20"/>
        <v>Watch</v>
      </c>
      <c r="G339" t="str">
        <f t="shared" si="21"/>
        <v>Best</v>
      </c>
      <c r="H339" t="str" cm="1">
        <f t="array" ref="H339">_xlfn.IFS(E339&gt;8,"Best",E339=7,"Good",E339&gt;7,"Good",E339&lt;7,"Avg",E339&lt;6,"Below Avg")</f>
        <v>Best</v>
      </c>
      <c r="I339">
        <v>149</v>
      </c>
      <c r="K339" s="3">
        <v>26445822</v>
      </c>
      <c r="L339" s="3">
        <v>20630548</v>
      </c>
      <c r="M339" s="3">
        <f t="shared" si="22"/>
        <v>5815274</v>
      </c>
      <c r="N339" t="s">
        <v>1206</v>
      </c>
      <c r="O339" t="s">
        <v>1207</v>
      </c>
      <c r="P339" t="s">
        <v>11</v>
      </c>
      <c r="Q339" t="str">
        <f t="shared" si="23"/>
        <v>Kid</v>
      </c>
    </row>
    <row r="340" spans="1:17" x14ac:dyDescent="0.3">
      <c r="A340" t="s">
        <v>1208</v>
      </c>
      <c r="B340">
        <v>2025</v>
      </c>
      <c r="C340" s="5" t="s">
        <v>499</v>
      </c>
      <c r="D340" t="s">
        <v>39</v>
      </c>
      <c r="E340" s="4">
        <v>6.3</v>
      </c>
      <c r="F340" t="str">
        <f t="shared" si="20"/>
        <v>Don't Watch</v>
      </c>
      <c r="G340" t="str">
        <f t="shared" si="21"/>
        <v>Avg</v>
      </c>
      <c r="H340" t="str" cm="1">
        <f t="array" ref="H340">_xlfn.IFS(E340&gt;8,"Best",E340=7,"Good",E340&gt;7,"Good",E340&lt;7,"Avg",E340&lt;6,"Below Avg")</f>
        <v>Avg</v>
      </c>
      <c r="I340">
        <v>144</v>
      </c>
      <c r="K340" s="3">
        <v>28678932</v>
      </c>
      <c r="L340" s="3">
        <v>22119288</v>
      </c>
      <c r="M340" s="3">
        <f t="shared" si="22"/>
        <v>6559644</v>
      </c>
      <c r="O340" t="s">
        <v>1209</v>
      </c>
      <c r="P340" t="s">
        <v>11</v>
      </c>
      <c r="Q340" t="str">
        <f t="shared" si="23"/>
        <v>Kid</v>
      </c>
    </row>
    <row r="341" spans="1:17" x14ac:dyDescent="0.3">
      <c r="A341" t="s">
        <v>1210</v>
      </c>
      <c r="B341">
        <v>2025</v>
      </c>
      <c r="C341" s="5" t="s">
        <v>499</v>
      </c>
      <c r="D341" t="s">
        <v>304</v>
      </c>
      <c r="E341" s="4">
        <v>8.5</v>
      </c>
      <c r="F341" t="str">
        <f t="shared" si="20"/>
        <v>Watch</v>
      </c>
      <c r="G341" t="str">
        <f t="shared" si="21"/>
        <v>Good</v>
      </c>
      <c r="H341" t="str" cm="1">
        <f t="array" ref="H341">_xlfn.IFS(E341&gt;8,"Best",E341=7,"Good",E341&gt;7,"Good",E341&lt;7,"Avg",E341&lt;6,"Below Avg")</f>
        <v>Best</v>
      </c>
      <c r="I341">
        <v>127</v>
      </c>
      <c r="K341" s="3">
        <v>27872346</v>
      </c>
      <c r="L341" s="3">
        <v>21581564</v>
      </c>
      <c r="M341" s="3">
        <f t="shared" si="22"/>
        <v>6290782</v>
      </c>
      <c r="N341" t="s">
        <v>592</v>
      </c>
      <c r="O341" t="s">
        <v>1211</v>
      </c>
      <c r="P341" t="s">
        <v>11</v>
      </c>
      <c r="Q341" t="str">
        <f t="shared" si="23"/>
        <v>Kid</v>
      </c>
    </row>
    <row r="342" spans="1:17" x14ac:dyDescent="0.3">
      <c r="A342" t="s">
        <v>1212</v>
      </c>
      <c r="B342">
        <v>2025</v>
      </c>
      <c r="C342" s="5" t="s">
        <v>499</v>
      </c>
      <c r="D342" t="s">
        <v>19</v>
      </c>
      <c r="E342" s="4">
        <v>9</v>
      </c>
      <c r="F342" t="str">
        <f t="shared" si="20"/>
        <v>Watch</v>
      </c>
      <c r="G342" t="str">
        <f t="shared" si="21"/>
        <v>Best</v>
      </c>
      <c r="H342" t="str" cm="1">
        <f t="array" ref="H342">_xlfn.IFS(E342&gt;8,"Best",E342=7,"Good",E342&gt;7,"Good",E342&lt;7,"Avg",E342&lt;6,"Below Avg")</f>
        <v>Best</v>
      </c>
      <c r="I342">
        <v>111</v>
      </c>
      <c r="K342" s="3">
        <v>26569143</v>
      </c>
      <c r="L342" s="3">
        <v>20712762</v>
      </c>
      <c r="M342" s="3">
        <f t="shared" si="22"/>
        <v>5856381</v>
      </c>
      <c r="N342" t="s">
        <v>106</v>
      </c>
      <c r="O342" t="s">
        <v>1213</v>
      </c>
      <c r="P342" t="s">
        <v>11</v>
      </c>
      <c r="Q342" t="str">
        <f t="shared" si="23"/>
        <v>Kid</v>
      </c>
    </row>
    <row r="343" spans="1:17" x14ac:dyDescent="0.3">
      <c r="A343" t="s">
        <v>1221</v>
      </c>
      <c r="B343">
        <v>2025</v>
      </c>
      <c r="C343" s="5" t="s">
        <v>499</v>
      </c>
      <c r="D343" t="s">
        <v>148</v>
      </c>
      <c r="E343" s="4">
        <v>9.1999999999999993</v>
      </c>
      <c r="F343" t="str">
        <f t="shared" si="20"/>
        <v>Watch</v>
      </c>
      <c r="G343" t="str">
        <f t="shared" si="21"/>
        <v>Best</v>
      </c>
      <c r="H343" t="str" cm="1">
        <f t="array" ref="H343">_xlfn.IFS(E343&gt;8,"Best",E343=7,"Good",E343&gt;7,"Good",E343&lt;7,"Avg",E343&lt;6,"Below Avg")</f>
        <v>Best</v>
      </c>
      <c r="I343">
        <v>110</v>
      </c>
      <c r="K343" s="3">
        <v>40942850</v>
      </c>
      <c r="L343" s="3">
        <v>11541580</v>
      </c>
      <c r="M343" s="3">
        <f t="shared" si="22"/>
        <v>29401270</v>
      </c>
      <c r="N343" t="s">
        <v>1222</v>
      </c>
      <c r="O343" t="s">
        <v>1223</v>
      </c>
      <c r="P343" t="s">
        <v>4</v>
      </c>
      <c r="Q343" t="str">
        <f t="shared" si="23"/>
        <v>Adult</v>
      </c>
    </row>
    <row r="344" spans="1:17" x14ac:dyDescent="0.3">
      <c r="A344" t="s">
        <v>1224</v>
      </c>
      <c r="B344">
        <v>2025</v>
      </c>
      <c r="C344" s="5" t="s">
        <v>499</v>
      </c>
      <c r="D344" t="s">
        <v>8</v>
      </c>
      <c r="E344" s="4">
        <v>8.1999999999999993</v>
      </c>
      <c r="F344" t="str">
        <f t="shared" si="20"/>
        <v>Watch</v>
      </c>
      <c r="G344" t="str">
        <f t="shared" si="21"/>
        <v>Good</v>
      </c>
      <c r="H344" t="str" cm="1">
        <f t="array" ref="H344">_xlfn.IFS(E344&gt;8,"Best",E344=7,"Good",E344&gt;7,"Good",E344&lt;7,"Avg",E344&lt;6,"Below Avg")</f>
        <v>Best</v>
      </c>
      <c r="I344">
        <v>145</v>
      </c>
      <c r="K344" s="3">
        <v>29182215</v>
      </c>
      <c r="L344" s="3">
        <v>22454810</v>
      </c>
      <c r="M344" s="3">
        <f t="shared" si="22"/>
        <v>6727405</v>
      </c>
      <c r="N344" t="s">
        <v>1225</v>
      </c>
      <c r="O344" t="s">
        <v>1226</v>
      </c>
      <c r="P344" t="s">
        <v>11</v>
      </c>
      <c r="Q344" t="str">
        <f t="shared" si="23"/>
        <v>Kid</v>
      </c>
    </row>
    <row r="345" spans="1:17" x14ac:dyDescent="0.3">
      <c r="A345" t="s">
        <v>1448</v>
      </c>
      <c r="B345">
        <v>2025</v>
      </c>
      <c r="C345" s="5" t="s">
        <v>767</v>
      </c>
      <c r="D345" t="s">
        <v>19</v>
      </c>
      <c r="E345" s="4">
        <v>6.2</v>
      </c>
      <c r="F345" t="str">
        <f t="shared" si="20"/>
        <v>Don't Watch</v>
      </c>
      <c r="G345" t="str">
        <f t="shared" si="21"/>
        <v>Avg</v>
      </c>
      <c r="H345" t="str" cm="1">
        <f t="array" ref="H345">_xlfn.IFS(E345&gt;8,"Best",E345=7,"Good",E345&gt;7,"Good",E345&lt;7,"Avg",E345&lt;6,"Below Avg")</f>
        <v>Avg</v>
      </c>
      <c r="I345">
        <v>161</v>
      </c>
      <c r="K345" s="3">
        <v>28235643</v>
      </c>
      <c r="L345" s="3">
        <v>21823762</v>
      </c>
      <c r="M345" s="3">
        <f t="shared" si="22"/>
        <v>6411881</v>
      </c>
      <c r="N345" t="s">
        <v>1449</v>
      </c>
      <c r="O345" t="s">
        <v>572</v>
      </c>
      <c r="P345" t="s">
        <v>11</v>
      </c>
      <c r="Q345" t="str">
        <f t="shared" si="23"/>
        <v>Kid</v>
      </c>
    </row>
    <row r="346" spans="1:17" x14ac:dyDescent="0.3">
      <c r="A346" t="s">
        <v>1450</v>
      </c>
      <c r="B346">
        <v>2025</v>
      </c>
      <c r="C346" s="5" t="s">
        <v>767</v>
      </c>
      <c r="D346" t="s">
        <v>27</v>
      </c>
      <c r="E346" s="4">
        <v>6.9</v>
      </c>
      <c r="F346" t="str">
        <f t="shared" si="20"/>
        <v>Watch</v>
      </c>
      <c r="G346" t="str">
        <f t="shared" si="21"/>
        <v>Avg</v>
      </c>
      <c r="H346" t="str" cm="1">
        <f t="array" ref="H346">_xlfn.IFS(E346&gt;8,"Best",E346=7,"Good",E346&gt;7,"Good",E346&lt;7,"Avg",E346&lt;6,"Below Avg")</f>
        <v>Avg</v>
      </c>
      <c r="I346">
        <v>126</v>
      </c>
      <c r="K346" s="3">
        <v>28368963</v>
      </c>
      <c r="L346" s="3">
        <v>21912642</v>
      </c>
      <c r="M346" s="3">
        <f t="shared" si="22"/>
        <v>6456321</v>
      </c>
      <c r="O346" t="s">
        <v>1451</v>
      </c>
      <c r="P346" t="s">
        <v>11</v>
      </c>
      <c r="Q346" t="str">
        <f t="shared" si="23"/>
        <v>Kid</v>
      </c>
    </row>
    <row r="347" spans="1:17" x14ac:dyDescent="0.3">
      <c r="A347" t="s">
        <v>1454</v>
      </c>
      <c r="B347">
        <v>2025</v>
      </c>
      <c r="C347" s="5" t="s">
        <v>767</v>
      </c>
      <c r="D347" t="s">
        <v>2</v>
      </c>
      <c r="E347" s="4">
        <v>6</v>
      </c>
      <c r="F347" t="str">
        <f t="shared" si="20"/>
        <v>Don't Watch</v>
      </c>
      <c r="G347" t="str">
        <f t="shared" si="21"/>
        <v>Avg</v>
      </c>
      <c r="H347" t="str" cm="1">
        <f t="array" ref="H347">_xlfn.IFS(E347&gt;8,"Best",E347=7,"Good",E347&gt;7,"Good",E347&lt;7,"Avg",E347&lt;6,"Below Avg")</f>
        <v>Avg</v>
      </c>
      <c r="I347">
        <v>156</v>
      </c>
      <c r="K347" s="3">
        <v>48281005</v>
      </c>
      <c r="L347" s="3">
        <v>13171694</v>
      </c>
      <c r="M347" s="3">
        <f t="shared" si="22"/>
        <v>35109311</v>
      </c>
      <c r="O347" t="s">
        <v>824</v>
      </c>
      <c r="P347" t="s">
        <v>4</v>
      </c>
      <c r="Q347" t="str">
        <f t="shared" si="23"/>
        <v>Adult</v>
      </c>
    </row>
    <row r="348" spans="1:17" x14ac:dyDescent="0.3">
      <c r="A348" t="s">
        <v>1471</v>
      </c>
      <c r="B348">
        <v>2025</v>
      </c>
      <c r="C348" s="5" t="s">
        <v>767</v>
      </c>
      <c r="D348" t="s">
        <v>27</v>
      </c>
      <c r="E348" s="4">
        <v>8.6</v>
      </c>
      <c r="F348" t="str">
        <f t="shared" si="20"/>
        <v>Watch</v>
      </c>
      <c r="G348" t="str">
        <f t="shared" si="21"/>
        <v>Best</v>
      </c>
      <c r="H348" t="str" cm="1">
        <f t="array" ref="H348">_xlfn.IFS(E348&gt;8,"Best",E348=7,"Good",E348&gt;7,"Good",E348&lt;7,"Avg",E348&lt;6,"Below Avg")</f>
        <v>Best</v>
      </c>
      <c r="I348">
        <v>125</v>
      </c>
      <c r="K348" s="3">
        <v>26115855</v>
      </c>
      <c r="L348" s="3">
        <v>20410570</v>
      </c>
      <c r="M348" s="3">
        <f t="shared" si="22"/>
        <v>5705285</v>
      </c>
      <c r="N348" t="s">
        <v>1472</v>
      </c>
      <c r="O348" t="s">
        <v>1473</v>
      </c>
      <c r="P348" t="s">
        <v>11</v>
      </c>
      <c r="Q348" t="str">
        <f t="shared" si="23"/>
        <v>Kid</v>
      </c>
    </row>
    <row r="349" spans="1:17" x14ac:dyDescent="0.3">
      <c r="A349" t="s">
        <v>1474</v>
      </c>
      <c r="B349">
        <v>2025</v>
      </c>
      <c r="C349" s="5" t="s">
        <v>767</v>
      </c>
      <c r="D349" t="s">
        <v>2</v>
      </c>
      <c r="E349" s="4">
        <v>6.4</v>
      </c>
      <c r="F349" t="str">
        <f t="shared" si="20"/>
        <v>Don't Watch</v>
      </c>
      <c r="G349" t="str">
        <f t="shared" si="21"/>
        <v>Avg</v>
      </c>
      <c r="H349" t="str" cm="1">
        <f t="array" ref="H349">_xlfn.IFS(E349&gt;8,"Best",E349=7,"Good",E349&gt;7,"Good",E349&lt;7,"Avg",E349&lt;6,"Below Avg")</f>
        <v>Avg</v>
      </c>
      <c r="I349">
        <v>130</v>
      </c>
      <c r="K349" s="3">
        <v>51052950</v>
      </c>
      <c r="L349" s="3">
        <v>13787460</v>
      </c>
      <c r="M349" s="3">
        <f t="shared" si="22"/>
        <v>37265490</v>
      </c>
      <c r="N349" t="s">
        <v>1475</v>
      </c>
      <c r="O349" t="s">
        <v>1476</v>
      </c>
      <c r="P349" t="s">
        <v>4</v>
      </c>
      <c r="Q349" t="str">
        <f t="shared" si="23"/>
        <v>Adult</v>
      </c>
    </row>
    <row r="350" spans="1:17" x14ac:dyDescent="0.3">
      <c r="A350" t="s">
        <v>1482</v>
      </c>
      <c r="B350">
        <v>2025</v>
      </c>
      <c r="C350" s="5" t="s">
        <v>767</v>
      </c>
      <c r="D350" t="s">
        <v>39</v>
      </c>
      <c r="E350" s="4">
        <v>8.1</v>
      </c>
      <c r="F350" t="str">
        <f t="shared" si="20"/>
        <v>Watch</v>
      </c>
      <c r="G350" t="str">
        <f t="shared" si="21"/>
        <v>Good</v>
      </c>
      <c r="H350" t="str" cm="1">
        <f t="array" ref="H350">_xlfn.IFS(E350&gt;8,"Best",E350=7,"Good",E350&gt;7,"Good",E350&lt;7,"Avg",E350&lt;6,"Below Avg")</f>
        <v>Best</v>
      </c>
      <c r="I350">
        <v>105</v>
      </c>
      <c r="K350" s="3">
        <v>31048695</v>
      </c>
      <c r="L350" s="3">
        <v>23699130</v>
      </c>
      <c r="M350" s="3">
        <f t="shared" si="22"/>
        <v>7349565</v>
      </c>
      <c r="N350" t="s">
        <v>1483</v>
      </c>
      <c r="O350" t="s">
        <v>484</v>
      </c>
      <c r="P350" t="s">
        <v>11</v>
      </c>
      <c r="Q350" t="str">
        <f t="shared" si="23"/>
        <v>Kid</v>
      </c>
    </row>
    <row r="351" spans="1:17" x14ac:dyDescent="0.3">
      <c r="A351" t="s">
        <v>1484</v>
      </c>
      <c r="B351">
        <v>2025</v>
      </c>
      <c r="C351" s="5" t="s">
        <v>767</v>
      </c>
      <c r="D351" t="s">
        <v>232</v>
      </c>
      <c r="E351" s="4">
        <v>6.5</v>
      </c>
      <c r="F351" t="str">
        <f t="shared" si="20"/>
        <v>Don't Watch</v>
      </c>
      <c r="G351" t="str">
        <f t="shared" si="21"/>
        <v>Avg</v>
      </c>
      <c r="H351" t="str" cm="1">
        <f t="array" ref="H351">_xlfn.IFS(E351&gt;8,"Best",E351=7,"Good",E351&gt;7,"Good",E351&lt;7,"Avg",E351&lt;6,"Below Avg")</f>
        <v>Avg</v>
      </c>
      <c r="I351">
        <v>107</v>
      </c>
      <c r="K351" s="3">
        <v>496503615</v>
      </c>
      <c r="L351" s="3">
        <v>166277207</v>
      </c>
      <c r="M351" s="3">
        <f t="shared" si="22"/>
        <v>330226408</v>
      </c>
      <c r="O351" t="s">
        <v>1485</v>
      </c>
      <c r="P351" t="s">
        <v>11</v>
      </c>
      <c r="Q351" t="str">
        <f t="shared" si="23"/>
        <v>Kid</v>
      </c>
    </row>
    <row r="352" spans="1:17" x14ac:dyDescent="0.3">
      <c r="A352" t="s">
        <v>1491</v>
      </c>
      <c r="B352">
        <v>2025</v>
      </c>
      <c r="C352" s="5" t="s">
        <v>767</v>
      </c>
      <c r="D352" t="s">
        <v>8</v>
      </c>
      <c r="E352" s="4">
        <v>6.9</v>
      </c>
      <c r="F352" t="str">
        <f t="shared" si="20"/>
        <v>Watch</v>
      </c>
      <c r="G352" t="str">
        <f t="shared" si="21"/>
        <v>Avg</v>
      </c>
      <c r="H352" t="str" cm="1">
        <f t="array" ref="H352">_xlfn.IFS(E352&gt;8,"Best",E352=7,"Good",E352&gt;7,"Good",E352&lt;7,"Avg",E352&lt;6,"Below Avg")</f>
        <v>Avg</v>
      </c>
      <c r="I352">
        <v>129</v>
      </c>
      <c r="K352" s="3">
        <v>27379062</v>
      </c>
      <c r="L352" s="3">
        <v>21252708</v>
      </c>
      <c r="M352" s="3">
        <f t="shared" si="22"/>
        <v>6126354</v>
      </c>
      <c r="O352" t="s">
        <v>1492</v>
      </c>
      <c r="P352" t="s">
        <v>11</v>
      </c>
      <c r="Q352" t="str">
        <f t="shared" si="23"/>
        <v>Kid</v>
      </c>
    </row>
    <row r="353" spans="1:17" x14ac:dyDescent="0.3">
      <c r="A353" t="s">
        <v>1452</v>
      </c>
      <c r="B353">
        <v>2025</v>
      </c>
      <c r="C353" s="5" t="s">
        <v>767</v>
      </c>
      <c r="D353" t="s">
        <v>35</v>
      </c>
      <c r="E353" s="4">
        <v>6.5</v>
      </c>
      <c r="F353" t="str">
        <f t="shared" si="20"/>
        <v>Don't Watch</v>
      </c>
      <c r="G353" t="str">
        <f t="shared" si="21"/>
        <v>Avg</v>
      </c>
      <c r="H353" t="str" cm="1">
        <f t="array" ref="H353">_xlfn.IFS(E353&gt;8,"Best",E353=7,"Good",E353&gt;7,"Good",E353&lt;7,"Avg",E353&lt;6,"Below Avg")</f>
        <v>Avg</v>
      </c>
      <c r="I353">
        <v>119</v>
      </c>
      <c r="K353" s="3">
        <v>29345532</v>
      </c>
      <c r="L353" s="3">
        <v>22563688</v>
      </c>
      <c r="M353" s="3">
        <f t="shared" si="22"/>
        <v>6781844</v>
      </c>
      <c r="N353" t="s">
        <v>1453</v>
      </c>
      <c r="O353" t="s">
        <v>120</v>
      </c>
      <c r="P353" t="s">
        <v>11</v>
      </c>
      <c r="Q353" t="str">
        <f t="shared" si="23"/>
        <v>Kid</v>
      </c>
    </row>
    <row r="354" spans="1:17" x14ac:dyDescent="0.3">
      <c r="A354" t="s">
        <v>1455</v>
      </c>
      <c r="B354">
        <v>2025</v>
      </c>
      <c r="C354" s="5" t="s">
        <v>767</v>
      </c>
      <c r="D354" t="s">
        <v>39</v>
      </c>
      <c r="E354" s="4">
        <v>8.8000000000000007</v>
      </c>
      <c r="F354" t="str">
        <f t="shared" si="20"/>
        <v>Watch</v>
      </c>
      <c r="G354" t="str">
        <f t="shared" si="21"/>
        <v>Best</v>
      </c>
      <c r="H354" t="str" cm="1">
        <f t="array" ref="H354">_xlfn.IFS(E354&gt;8,"Best",E354=7,"Good",E354&gt;7,"Good",E354&lt;7,"Avg",E354&lt;6,"Below Avg")</f>
        <v>Best</v>
      </c>
      <c r="I354">
        <v>145</v>
      </c>
      <c r="K354" s="3">
        <v>31182015</v>
      </c>
      <c r="L354" s="3">
        <v>23788010</v>
      </c>
      <c r="M354" s="3">
        <f t="shared" si="22"/>
        <v>7394005</v>
      </c>
      <c r="N354" t="s">
        <v>1456</v>
      </c>
      <c r="O354" t="s">
        <v>1457</v>
      </c>
      <c r="P354" t="s">
        <v>11</v>
      </c>
      <c r="Q354" t="str">
        <f t="shared" si="23"/>
        <v>Kid</v>
      </c>
    </row>
    <row r="355" spans="1:17" x14ac:dyDescent="0.3">
      <c r="A355" t="s">
        <v>1458</v>
      </c>
      <c r="B355">
        <v>2025</v>
      </c>
      <c r="C355" s="5" t="s">
        <v>767</v>
      </c>
      <c r="D355" t="s">
        <v>8</v>
      </c>
      <c r="E355" s="4">
        <v>8.3000000000000007</v>
      </c>
      <c r="F355" t="str">
        <f t="shared" si="20"/>
        <v>Watch</v>
      </c>
      <c r="G355" t="str">
        <f t="shared" si="21"/>
        <v>Good</v>
      </c>
      <c r="H355" t="str" cm="1">
        <f t="array" ref="H355">_xlfn.IFS(E355&gt;8,"Best",E355=7,"Good",E355&gt;7,"Good",E355&lt;7,"Avg",E355&lt;6,"Below Avg")</f>
        <v>Best</v>
      </c>
      <c r="I355">
        <v>140</v>
      </c>
      <c r="K355" s="3">
        <v>28415625</v>
      </c>
      <c r="L355" s="3">
        <v>21943750</v>
      </c>
      <c r="M355" s="3">
        <f t="shared" si="22"/>
        <v>6471875</v>
      </c>
      <c r="N355" t="s">
        <v>1459</v>
      </c>
      <c r="O355" t="s">
        <v>491</v>
      </c>
      <c r="P355" t="s">
        <v>11</v>
      </c>
      <c r="Q355" t="str">
        <f t="shared" si="23"/>
        <v>Kid</v>
      </c>
    </row>
    <row r="356" spans="1:17" x14ac:dyDescent="0.3">
      <c r="A356" t="s">
        <v>1460</v>
      </c>
      <c r="B356">
        <v>2025</v>
      </c>
      <c r="C356" s="5" t="s">
        <v>767</v>
      </c>
      <c r="D356" t="s">
        <v>8</v>
      </c>
      <c r="E356" s="4">
        <v>7</v>
      </c>
      <c r="F356" t="str">
        <f t="shared" si="20"/>
        <v>Watch</v>
      </c>
      <c r="G356" t="str">
        <f t="shared" si="21"/>
        <v>Avg</v>
      </c>
      <c r="H356" t="str" cm="1">
        <f t="array" ref="H356">_xlfn.IFS(E356&gt;8,"Best",E356=7,"Good",E356&gt;7,"Good",E356&lt;7,"Avg",E356&lt;6,"Below Avg")</f>
        <v>Good</v>
      </c>
      <c r="I356">
        <v>148</v>
      </c>
      <c r="K356" s="3">
        <v>35191614</v>
      </c>
      <c r="L356" s="3">
        <v>26461076</v>
      </c>
      <c r="M356" s="3">
        <f t="shared" si="22"/>
        <v>8730538</v>
      </c>
      <c r="N356" t="s">
        <v>1461</v>
      </c>
      <c r="O356" t="s">
        <v>1462</v>
      </c>
      <c r="P356" t="s">
        <v>11</v>
      </c>
      <c r="Q356" t="str">
        <f t="shared" si="23"/>
        <v>Kid</v>
      </c>
    </row>
    <row r="357" spans="1:17" x14ac:dyDescent="0.3">
      <c r="A357" t="s">
        <v>1463</v>
      </c>
      <c r="B357">
        <v>2025</v>
      </c>
      <c r="C357" s="5" t="s">
        <v>767</v>
      </c>
      <c r="D357" t="s">
        <v>19</v>
      </c>
      <c r="E357" s="4">
        <v>6.3</v>
      </c>
      <c r="F357" t="str">
        <f t="shared" si="20"/>
        <v>Don't Watch</v>
      </c>
      <c r="G357" t="str">
        <f t="shared" si="21"/>
        <v>Avg</v>
      </c>
      <c r="H357" t="str" cm="1">
        <f t="array" ref="H357">_xlfn.IFS(E357&gt;8,"Best",E357=7,"Good",E357&gt;7,"Good",E357&lt;7,"Avg",E357&lt;6,"Below Avg")</f>
        <v>Avg</v>
      </c>
      <c r="I357">
        <v>156</v>
      </c>
      <c r="K357" s="3">
        <v>27469053</v>
      </c>
      <c r="L357" s="3">
        <v>21312702</v>
      </c>
      <c r="M357" s="3">
        <f t="shared" si="22"/>
        <v>6156351</v>
      </c>
      <c r="N357" t="s">
        <v>1464</v>
      </c>
      <c r="O357" t="s">
        <v>1465</v>
      </c>
      <c r="P357" t="s">
        <v>11</v>
      </c>
      <c r="Q357" t="str">
        <f t="shared" si="23"/>
        <v>Kid</v>
      </c>
    </row>
    <row r="358" spans="1:17" x14ac:dyDescent="0.3">
      <c r="A358" t="s">
        <v>1466</v>
      </c>
      <c r="B358">
        <v>2025</v>
      </c>
      <c r="C358" s="5" t="s">
        <v>767</v>
      </c>
      <c r="D358" t="s">
        <v>8</v>
      </c>
      <c r="E358" s="4">
        <v>7.1</v>
      </c>
      <c r="F358" t="str">
        <f t="shared" si="20"/>
        <v>Watch</v>
      </c>
      <c r="G358" t="str">
        <f t="shared" si="21"/>
        <v>Good</v>
      </c>
      <c r="H358" t="str" cm="1">
        <f t="array" ref="H358">_xlfn.IFS(E358&gt;8,"Best",E358=7,"Good",E358&gt;7,"Good",E358&lt;7,"Avg",E358&lt;6,"Below Avg")</f>
        <v>Good</v>
      </c>
      <c r="I358">
        <v>122</v>
      </c>
      <c r="K358" s="3">
        <v>30355431</v>
      </c>
      <c r="L358" s="3">
        <v>23236954</v>
      </c>
      <c r="M358" s="3">
        <f t="shared" si="22"/>
        <v>7118477</v>
      </c>
      <c r="N358" t="s">
        <v>1467</v>
      </c>
      <c r="O358" t="s">
        <v>1468</v>
      </c>
      <c r="P358" t="s">
        <v>11</v>
      </c>
      <c r="Q358" t="str">
        <f t="shared" si="23"/>
        <v>Kid</v>
      </c>
    </row>
    <row r="359" spans="1:17" x14ac:dyDescent="0.3">
      <c r="A359" t="s">
        <v>1469</v>
      </c>
      <c r="B359">
        <v>2025</v>
      </c>
      <c r="C359" s="5" t="s">
        <v>767</v>
      </c>
      <c r="D359" t="s">
        <v>61</v>
      </c>
      <c r="E359" s="4">
        <v>6.8</v>
      </c>
      <c r="F359" t="str">
        <f t="shared" si="20"/>
        <v>Watch</v>
      </c>
      <c r="G359" t="str">
        <f t="shared" si="21"/>
        <v>Avg</v>
      </c>
      <c r="H359" t="str" cm="1">
        <f t="array" ref="H359">_xlfn.IFS(E359&gt;8,"Best",E359=7,"Good",E359&gt;7,"Good",E359&lt;7,"Avg",E359&lt;6,"Below Avg")</f>
        <v>Avg</v>
      </c>
      <c r="I359">
        <v>122</v>
      </c>
      <c r="K359" s="3">
        <v>29355531</v>
      </c>
      <c r="L359" s="3">
        <v>22570354</v>
      </c>
      <c r="M359" s="3">
        <f t="shared" si="22"/>
        <v>6785177</v>
      </c>
      <c r="N359" t="s">
        <v>1470</v>
      </c>
      <c r="O359" t="s">
        <v>700</v>
      </c>
      <c r="P359" t="s">
        <v>11</v>
      </c>
      <c r="Q359" t="str">
        <f t="shared" si="23"/>
        <v>Kid</v>
      </c>
    </row>
    <row r="360" spans="1:17" x14ac:dyDescent="0.3">
      <c r="A360" t="s">
        <v>1477</v>
      </c>
      <c r="B360">
        <v>2025</v>
      </c>
      <c r="C360" s="5" t="s">
        <v>767</v>
      </c>
      <c r="D360" t="s">
        <v>304</v>
      </c>
      <c r="E360" s="4">
        <v>6.4</v>
      </c>
      <c r="F360" t="str">
        <f t="shared" si="20"/>
        <v>Don't Watch</v>
      </c>
      <c r="G360" t="str">
        <f t="shared" si="21"/>
        <v>Avg</v>
      </c>
      <c r="H360" t="str" cm="1">
        <f t="array" ref="H360">_xlfn.IFS(E360&gt;8,"Best",E360=7,"Good",E360&gt;7,"Good",E360&lt;7,"Avg",E360&lt;6,"Below Avg")</f>
        <v>Avg</v>
      </c>
      <c r="I360">
        <v>112</v>
      </c>
      <c r="K360" s="3">
        <v>28572276</v>
      </c>
      <c r="L360" s="3">
        <v>22048184</v>
      </c>
      <c r="M360" s="3">
        <f t="shared" si="22"/>
        <v>6524092</v>
      </c>
      <c r="N360" t="s">
        <v>1478</v>
      </c>
      <c r="O360" t="s">
        <v>120</v>
      </c>
      <c r="P360" t="s">
        <v>11</v>
      </c>
      <c r="Q360" t="str">
        <f t="shared" si="23"/>
        <v>Kid</v>
      </c>
    </row>
    <row r="361" spans="1:17" x14ac:dyDescent="0.3">
      <c r="A361" t="s">
        <v>1479</v>
      </c>
      <c r="B361">
        <v>2025</v>
      </c>
      <c r="C361" s="5" t="s">
        <v>767</v>
      </c>
      <c r="D361" t="s">
        <v>35</v>
      </c>
      <c r="E361" s="4">
        <v>6.5</v>
      </c>
      <c r="F361" t="str">
        <f t="shared" si="20"/>
        <v>Don't Watch</v>
      </c>
      <c r="G361" t="str">
        <f t="shared" si="21"/>
        <v>Avg</v>
      </c>
      <c r="H361" t="str" cm="1">
        <f t="array" ref="H361">_xlfn.IFS(E361&gt;8,"Best",E361=7,"Good",E361&gt;7,"Good",E361&lt;7,"Avg",E361&lt;6,"Below Avg")</f>
        <v>Avg</v>
      </c>
      <c r="I361">
        <v>164</v>
      </c>
      <c r="K361" s="3">
        <v>28245642</v>
      </c>
      <c r="L361" s="3">
        <v>21830428</v>
      </c>
      <c r="M361" s="3">
        <f t="shared" si="22"/>
        <v>6415214</v>
      </c>
      <c r="N361" t="s">
        <v>142</v>
      </c>
      <c r="O361" t="s">
        <v>336</v>
      </c>
      <c r="P361" t="s">
        <v>11</v>
      </c>
      <c r="Q361" t="str">
        <f t="shared" si="23"/>
        <v>Kid</v>
      </c>
    </row>
    <row r="362" spans="1:17" x14ac:dyDescent="0.3">
      <c r="A362" t="s">
        <v>1480</v>
      </c>
      <c r="B362">
        <v>2025</v>
      </c>
      <c r="C362" s="5" t="s">
        <v>767</v>
      </c>
      <c r="D362" t="s">
        <v>8</v>
      </c>
      <c r="E362" s="4">
        <v>7.5</v>
      </c>
      <c r="F362" t="str">
        <f t="shared" si="20"/>
        <v>Watch</v>
      </c>
      <c r="G362" t="str">
        <f t="shared" si="21"/>
        <v>Good</v>
      </c>
      <c r="H362" t="str" cm="1">
        <f t="array" ref="H362">_xlfn.IFS(E362&gt;8,"Best",E362=7,"Good",E362&gt;7,"Good",E362&lt;7,"Avg",E362&lt;6,"Below Avg")</f>
        <v>Good</v>
      </c>
      <c r="I362">
        <v>111</v>
      </c>
      <c r="K362" s="3">
        <v>29818818</v>
      </c>
      <c r="L362" s="3">
        <v>22879212</v>
      </c>
      <c r="M362" s="3">
        <f t="shared" si="22"/>
        <v>6939606</v>
      </c>
      <c r="O362" t="s">
        <v>1481</v>
      </c>
      <c r="P362" t="s">
        <v>11</v>
      </c>
      <c r="Q362" t="str">
        <f t="shared" si="23"/>
        <v>Kid</v>
      </c>
    </row>
    <row r="363" spans="1:17" x14ac:dyDescent="0.3">
      <c r="A363" t="s">
        <v>1486</v>
      </c>
      <c r="B363">
        <v>2025</v>
      </c>
      <c r="C363" s="5" t="s">
        <v>767</v>
      </c>
      <c r="D363" t="s">
        <v>354</v>
      </c>
      <c r="E363" s="4">
        <v>6.1</v>
      </c>
      <c r="F363" t="str">
        <f t="shared" si="20"/>
        <v>Don't Watch</v>
      </c>
      <c r="G363" t="str">
        <f t="shared" si="21"/>
        <v>Avg</v>
      </c>
      <c r="H363" t="str" cm="1">
        <f t="array" ref="H363">_xlfn.IFS(E363&gt;8,"Best",E363=7,"Good",E363&gt;7,"Good",E363&lt;7,"Avg",E363&lt;6,"Below Avg")</f>
        <v>Avg</v>
      </c>
      <c r="I363">
        <v>97</v>
      </c>
      <c r="K363" s="3">
        <v>38021331</v>
      </c>
      <c r="L363" s="3">
        <v>28347554</v>
      </c>
      <c r="M363" s="3">
        <f t="shared" si="22"/>
        <v>9673777</v>
      </c>
      <c r="N363" t="s">
        <v>1487</v>
      </c>
      <c r="O363" t="s">
        <v>1488</v>
      </c>
      <c r="P363" t="s">
        <v>11</v>
      </c>
      <c r="Q363" t="str">
        <f t="shared" si="23"/>
        <v>Kid</v>
      </c>
    </row>
    <row r="364" spans="1:17" x14ac:dyDescent="0.3">
      <c r="A364" t="s">
        <v>1489</v>
      </c>
      <c r="B364">
        <v>2025</v>
      </c>
      <c r="C364" s="5" t="s">
        <v>767</v>
      </c>
      <c r="D364" t="s">
        <v>8</v>
      </c>
      <c r="E364" s="4">
        <v>6.6</v>
      </c>
      <c r="F364" t="str">
        <f t="shared" si="20"/>
        <v>Watch</v>
      </c>
      <c r="G364" t="str">
        <f t="shared" si="21"/>
        <v>Avg</v>
      </c>
      <c r="H364" t="str" cm="1">
        <f t="array" ref="H364">_xlfn.IFS(E364&gt;8,"Best",E364=7,"Good",E364&gt;7,"Good",E364&lt;7,"Avg",E364&lt;6,"Below Avg")</f>
        <v>Avg</v>
      </c>
      <c r="I364">
        <v>138</v>
      </c>
      <c r="K364" s="3">
        <v>28908909</v>
      </c>
      <c r="L364" s="3">
        <v>22272606</v>
      </c>
      <c r="M364" s="3">
        <f t="shared" si="22"/>
        <v>6636303</v>
      </c>
      <c r="N364" t="s">
        <v>526</v>
      </c>
      <c r="O364" t="s">
        <v>336</v>
      </c>
      <c r="P364" t="s">
        <v>11</v>
      </c>
      <c r="Q364" t="str">
        <f t="shared" si="23"/>
        <v>Kid</v>
      </c>
    </row>
    <row r="365" spans="1:17" x14ac:dyDescent="0.3">
      <c r="A365" t="s">
        <v>1490</v>
      </c>
      <c r="B365">
        <v>2025</v>
      </c>
      <c r="C365" s="5" t="s">
        <v>767</v>
      </c>
      <c r="D365" t="s">
        <v>39</v>
      </c>
      <c r="E365" s="4">
        <v>7</v>
      </c>
      <c r="F365" t="str">
        <f t="shared" si="20"/>
        <v>Watch</v>
      </c>
      <c r="G365" t="str">
        <f t="shared" si="21"/>
        <v>Avg</v>
      </c>
      <c r="H365" t="str" cm="1">
        <f t="array" ref="H365">_xlfn.IFS(E365&gt;8,"Best",E365=7,"Good",E365&gt;7,"Good",E365&lt;7,"Avg",E365&lt;6,"Below Avg")</f>
        <v>Good</v>
      </c>
      <c r="I365">
        <v>115</v>
      </c>
      <c r="K365" s="3">
        <v>29582175</v>
      </c>
      <c r="L365" s="3">
        <v>22721450</v>
      </c>
      <c r="M365" s="3">
        <f t="shared" si="22"/>
        <v>6860725</v>
      </c>
      <c r="O365" t="s">
        <v>1223</v>
      </c>
      <c r="P365" t="s">
        <v>11</v>
      </c>
      <c r="Q365" t="str">
        <f t="shared" si="23"/>
        <v>Kid</v>
      </c>
    </row>
    <row r="366" spans="1:17" x14ac:dyDescent="0.3">
      <c r="A366" t="s">
        <v>1493</v>
      </c>
      <c r="B366">
        <v>2025</v>
      </c>
      <c r="C366" s="5" t="s">
        <v>767</v>
      </c>
      <c r="D366" t="s">
        <v>127</v>
      </c>
      <c r="E366" s="4">
        <v>7.9</v>
      </c>
      <c r="F366" t="str">
        <f t="shared" si="20"/>
        <v>Watch</v>
      </c>
      <c r="G366" t="str">
        <f t="shared" si="21"/>
        <v>Good</v>
      </c>
      <c r="H366" t="str" cm="1">
        <f t="array" ref="H366">_xlfn.IFS(E366&gt;8,"Best",E366=7,"Good",E366&gt;7,"Good",E366&lt;7,"Avg",E366&lt;6,"Below Avg")</f>
        <v>Good</v>
      </c>
      <c r="I366">
        <v>109</v>
      </c>
      <c r="K366" s="3">
        <v>29062227</v>
      </c>
      <c r="L366" s="3">
        <v>22374818</v>
      </c>
      <c r="M366" s="3">
        <f t="shared" si="22"/>
        <v>6687409</v>
      </c>
      <c r="O366" t="s">
        <v>768</v>
      </c>
      <c r="P366" t="s">
        <v>11</v>
      </c>
      <c r="Q366" t="str">
        <f t="shared" si="23"/>
        <v>Kid</v>
      </c>
    </row>
    <row r="367" spans="1:17" x14ac:dyDescent="0.3">
      <c r="A367" t="s">
        <v>1494</v>
      </c>
      <c r="B367">
        <v>2025</v>
      </c>
      <c r="C367" s="5" t="s">
        <v>767</v>
      </c>
      <c r="D367" t="s">
        <v>27</v>
      </c>
      <c r="E367" s="4">
        <v>6.9</v>
      </c>
      <c r="F367" t="str">
        <f t="shared" si="20"/>
        <v>Watch</v>
      </c>
      <c r="G367" t="str">
        <f t="shared" si="21"/>
        <v>Avg</v>
      </c>
      <c r="H367" t="str" cm="1">
        <f t="array" ref="H367">_xlfn.IFS(E367&gt;8,"Best",E367=7,"Good",E367&gt;7,"Good",E367&lt;7,"Avg",E367&lt;6,"Below Avg")</f>
        <v>Avg</v>
      </c>
      <c r="I367">
        <v>132</v>
      </c>
      <c r="K367" s="3">
        <v>31888611</v>
      </c>
      <c r="L367" s="3">
        <v>24259074</v>
      </c>
      <c r="M367" s="3">
        <f t="shared" si="22"/>
        <v>7629537</v>
      </c>
      <c r="O367" t="s">
        <v>1495</v>
      </c>
      <c r="P367" t="s">
        <v>11</v>
      </c>
      <c r="Q367" t="str">
        <f t="shared" si="23"/>
        <v>Kid</v>
      </c>
    </row>
    <row r="368" spans="1:17" x14ac:dyDescent="0.3">
      <c r="A368" t="s">
        <v>899</v>
      </c>
      <c r="B368">
        <v>2025</v>
      </c>
      <c r="C368" s="5" t="s">
        <v>89</v>
      </c>
      <c r="D368" t="s">
        <v>8</v>
      </c>
      <c r="E368" s="4">
        <v>8.3000000000000007</v>
      </c>
      <c r="F368" t="str">
        <f t="shared" si="20"/>
        <v>Watch</v>
      </c>
      <c r="G368" t="str">
        <f t="shared" si="21"/>
        <v>Good</v>
      </c>
      <c r="H368" t="str" cm="1">
        <f t="array" ref="H368">_xlfn.IFS(E368&gt;8,"Best",E368=7,"Good",E368&gt;7,"Good",E368&lt;7,"Avg",E368&lt;6,"Below Avg")</f>
        <v>Best</v>
      </c>
      <c r="I368">
        <v>149</v>
      </c>
      <c r="K368" s="3">
        <v>28195647</v>
      </c>
      <c r="L368" s="3">
        <v>21797098</v>
      </c>
      <c r="M368" s="3">
        <f t="shared" si="22"/>
        <v>6398549</v>
      </c>
      <c r="O368" t="s">
        <v>900</v>
      </c>
      <c r="P368" t="s">
        <v>11</v>
      </c>
      <c r="Q368" t="str">
        <f t="shared" si="23"/>
        <v>Kid</v>
      </c>
    </row>
    <row r="369" spans="1:17" x14ac:dyDescent="0.3">
      <c r="A369" t="s">
        <v>859</v>
      </c>
      <c r="B369">
        <v>2025</v>
      </c>
      <c r="C369" s="5" t="s">
        <v>89</v>
      </c>
      <c r="D369" t="s">
        <v>31</v>
      </c>
      <c r="E369" s="4">
        <v>6</v>
      </c>
      <c r="F369" t="str">
        <f t="shared" si="20"/>
        <v>Don't Watch</v>
      </c>
      <c r="G369" t="str">
        <f t="shared" si="21"/>
        <v>Avg</v>
      </c>
      <c r="H369" t="str" cm="1">
        <f t="array" ref="H369">_xlfn.IFS(E369&gt;8,"Best",E369=7,"Good",E369&gt;7,"Good",E369&lt;7,"Avg",E369&lt;6,"Below Avg")</f>
        <v>Avg</v>
      </c>
      <c r="I369">
        <v>156</v>
      </c>
      <c r="K369" s="3">
        <v>29218878</v>
      </c>
      <c r="L369" s="3">
        <v>22479252</v>
      </c>
      <c r="M369" s="3">
        <f t="shared" si="22"/>
        <v>6739626</v>
      </c>
      <c r="O369" t="s">
        <v>195</v>
      </c>
      <c r="P369" t="s">
        <v>11</v>
      </c>
      <c r="Q369" t="str">
        <f t="shared" si="23"/>
        <v>Kid</v>
      </c>
    </row>
    <row r="370" spans="1:17" x14ac:dyDescent="0.3">
      <c r="A370" t="s">
        <v>860</v>
      </c>
      <c r="B370">
        <v>2025</v>
      </c>
      <c r="C370" s="5" t="s">
        <v>89</v>
      </c>
      <c r="D370" t="s">
        <v>8</v>
      </c>
      <c r="E370" s="4">
        <v>6.9</v>
      </c>
      <c r="F370" t="str">
        <f t="shared" si="20"/>
        <v>Watch</v>
      </c>
      <c r="G370" t="str">
        <f t="shared" si="21"/>
        <v>Avg</v>
      </c>
      <c r="H370" t="str" cm="1">
        <f t="array" ref="H370">_xlfn.IFS(E370&gt;8,"Best",E370=7,"Good",E370&gt;7,"Good",E370&lt;7,"Avg",E370&lt;6,"Below Avg")</f>
        <v>Avg</v>
      </c>
      <c r="I370">
        <v>90</v>
      </c>
      <c r="K370" s="3">
        <v>29248875</v>
      </c>
      <c r="L370" s="3">
        <v>22499250</v>
      </c>
      <c r="M370" s="3">
        <f t="shared" si="22"/>
        <v>6749625</v>
      </c>
      <c r="N370" t="s">
        <v>861</v>
      </c>
      <c r="O370" t="s">
        <v>862</v>
      </c>
      <c r="P370" t="s">
        <v>11</v>
      </c>
      <c r="Q370" t="str">
        <f t="shared" si="23"/>
        <v>Kid</v>
      </c>
    </row>
    <row r="371" spans="1:17" x14ac:dyDescent="0.3">
      <c r="A371" t="s">
        <v>863</v>
      </c>
      <c r="B371">
        <v>2025</v>
      </c>
      <c r="C371" s="5" t="s">
        <v>89</v>
      </c>
      <c r="D371" t="s">
        <v>2</v>
      </c>
      <c r="E371" s="4">
        <v>8.6</v>
      </c>
      <c r="F371" t="str">
        <f t="shared" si="20"/>
        <v>Watch</v>
      </c>
      <c r="G371" t="str">
        <f t="shared" si="21"/>
        <v>Best</v>
      </c>
      <c r="H371" t="str" cm="1">
        <f t="array" ref="H371">_xlfn.IFS(E371&gt;8,"Best",E371=7,"Good",E371&gt;7,"Good",E371&lt;7,"Avg",E371&lt;6,"Below Avg")</f>
        <v>Best</v>
      </c>
      <c r="I371">
        <v>128</v>
      </c>
      <c r="K371" s="3">
        <v>41459465</v>
      </c>
      <c r="L371" s="3">
        <v>11656342</v>
      </c>
      <c r="M371" s="3">
        <f t="shared" si="22"/>
        <v>29803123</v>
      </c>
      <c r="N371" t="s">
        <v>864</v>
      </c>
      <c r="O371" t="s">
        <v>865</v>
      </c>
      <c r="P371" t="s">
        <v>4</v>
      </c>
      <c r="Q371" t="str">
        <f t="shared" si="23"/>
        <v>Adult</v>
      </c>
    </row>
    <row r="372" spans="1:17" x14ac:dyDescent="0.3">
      <c r="A372" t="s">
        <v>876</v>
      </c>
      <c r="B372">
        <v>2025</v>
      </c>
      <c r="C372" s="5" t="s">
        <v>89</v>
      </c>
      <c r="D372" t="s">
        <v>2</v>
      </c>
      <c r="E372" s="4">
        <v>7.7</v>
      </c>
      <c r="F372" t="str">
        <f t="shared" si="20"/>
        <v>Watch</v>
      </c>
      <c r="G372" t="str">
        <f t="shared" si="21"/>
        <v>Good</v>
      </c>
      <c r="H372" t="str" cm="1">
        <f t="array" ref="H372">_xlfn.IFS(E372&gt;8,"Best",E372=7,"Good",E372&gt;7,"Good",E372&lt;7,"Avg",E372&lt;6,"Below Avg")</f>
        <v>Good</v>
      </c>
      <c r="I372">
        <v>92</v>
      </c>
      <c r="K372" s="3">
        <v>51675110</v>
      </c>
      <c r="L372" s="3">
        <v>13925668</v>
      </c>
      <c r="M372" s="3">
        <f t="shared" si="22"/>
        <v>37749442</v>
      </c>
      <c r="N372" t="s">
        <v>877</v>
      </c>
      <c r="O372" t="s">
        <v>878</v>
      </c>
      <c r="P372" t="s">
        <v>4</v>
      </c>
      <c r="Q372" t="str">
        <f t="shared" si="23"/>
        <v>Adult</v>
      </c>
    </row>
    <row r="373" spans="1:17" x14ac:dyDescent="0.3">
      <c r="A373" t="s">
        <v>879</v>
      </c>
      <c r="B373">
        <v>2025</v>
      </c>
      <c r="C373" s="5" t="s">
        <v>89</v>
      </c>
      <c r="D373" t="s">
        <v>39</v>
      </c>
      <c r="E373" s="4">
        <v>6.8</v>
      </c>
      <c r="F373" t="str">
        <f t="shared" si="20"/>
        <v>Watch</v>
      </c>
      <c r="G373" t="str">
        <f t="shared" si="21"/>
        <v>Avg</v>
      </c>
      <c r="H373" t="str" cm="1">
        <f t="array" ref="H373">_xlfn.IFS(E373&gt;8,"Best",E373=7,"Good",E373&gt;7,"Good",E373&lt;7,"Avg",E373&lt;6,"Below Avg")</f>
        <v>Avg</v>
      </c>
      <c r="I373">
        <v>149</v>
      </c>
      <c r="K373" s="3">
        <v>34195047</v>
      </c>
      <c r="L373" s="3">
        <v>25796698</v>
      </c>
      <c r="M373" s="3">
        <f t="shared" si="22"/>
        <v>8398349</v>
      </c>
      <c r="N373" t="s">
        <v>880</v>
      </c>
      <c r="O373" t="s">
        <v>881</v>
      </c>
      <c r="P373" t="s">
        <v>11</v>
      </c>
      <c r="Q373" t="str">
        <f t="shared" si="23"/>
        <v>Kid</v>
      </c>
    </row>
    <row r="374" spans="1:17" x14ac:dyDescent="0.3">
      <c r="A374" t="s">
        <v>883</v>
      </c>
      <c r="B374">
        <v>2025</v>
      </c>
      <c r="C374" s="5" t="s">
        <v>89</v>
      </c>
      <c r="D374" t="s">
        <v>116</v>
      </c>
      <c r="E374" s="4">
        <v>6.2</v>
      </c>
      <c r="F374" t="str">
        <f t="shared" si="20"/>
        <v>Don't Watch</v>
      </c>
      <c r="G374" t="str">
        <f t="shared" si="21"/>
        <v>Avg</v>
      </c>
      <c r="H374" t="str" cm="1">
        <f t="array" ref="H374">_xlfn.IFS(E374&gt;8,"Best",E374=7,"Good",E374&gt;7,"Good",E374&lt;7,"Avg",E374&lt;6,"Below Avg")</f>
        <v>Avg</v>
      </c>
      <c r="I374">
        <v>134</v>
      </c>
      <c r="K374" s="3">
        <v>34395027</v>
      </c>
      <c r="L374" s="3">
        <v>25930018</v>
      </c>
      <c r="M374" s="3">
        <f t="shared" si="22"/>
        <v>8465009</v>
      </c>
      <c r="O374" t="s">
        <v>884</v>
      </c>
      <c r="P374" t="s">
        <v>11</v>
      </c>
      <c r="Q374" t="str">
        <f t="shared" si="23"/>
        <v>Kid</v>
      </c>
    </row>
    <row r="375" spans="1:17" x14ac:dyDescent="0.3">
      <c r="A375" t="s">
        <v>866</v>
      </c>
      <c r="B375">
        <v>2025</v>
      </c>
      <c r="C375" s="5" t="s">
        <v>89</v>
      </c>
      <c r="D375" t="s">
        <v>35</v>
      </c>
      <c r="E375" s="4">
        <v>8.6999999999999993</v>
      </c>
      <c r="F375" t="str">
        <f t="shared" si="20"/>
        <v>Watch</v>
      </c>
      <c r="G375" t="str">
        <f t="shared" si="21"/>
        <v>Best</v>
      </c>
      <c r="H375" t="str" cm="1">
        <f t="array" ref="H375">_xlfn.IFS(E375&gt;8,"Best",E375=7,"Good",E375&gt;7,"Good",E375&lt;7,"Avg",E375&lt;6,"Below Avg")</f>
        <v>Best</v>
      </c>
      <c r="I375">
        <v>162</v>
      </c>
      <c r="K375" s="3">
        <v>27989001</v>
      </c>
      <c r="L375" s="3">
        <v>21659334</v>
      </c>
      <c r="M375" s="3">
        <f t="shared" si="22"/>
        <v>6329667</v>
      </c>
      <c r="N375" t="s">
        <v>867</v>
      </c>
      <c r="O375" t="s">
        <v>315</v>
      </c>
      <c r="P375" t="s">
        <v>11</v>
      </c>
      <c r="Q375" t="str">
        <f t="shared" si="23"/>
        <v>Kid</v>
      </c>
    </row>
    <row r="376" spans="1:17" x14ac:dyDescent="0.3">
      <c r="A376" t="s">
        <v>868</v>
      </c>
      <c r="B376">
        <v>2025</v>
      </c>
      <c r="C376" s="5" t="s">
        <v>89</v>
      </c>
      <c r="D376" t="s">
        <v>8</v>
      </c>
      <c r="E376" s="4">
        <v>8</v>
      </c>
      <c r="F376" t="str">
        <f t="shared" si="20"/>
        <v>Watch</v>
      </c>
      <c r="G376" t="str">
        <f t="shared" si="21"/>
        <v>Good</v>
      </c>
      <c r="H376" t="str" cm="1">
        <f t="array" ref="H376">_xlfn.IFS(E376&gt;8,"Best",E376=7,"Good",E376&gt;7,"Good",E376&lt;7,"Avg",E376&lt;6,"Below Avg")</f>
        <v>Good</v>
      </c>
      <c r="I376">
        <v>101</v>
      </c>
      <c r="K376" s="3">
        <v>26535813</v>
      </c>
      <c r="L376" s="3">
        <v>20690542</v>
      </c>
      <c r="M376" s="3">
        <f t="shared" si="22"/>
        <v>5845271</v>
      </c>
      <c r="O376" t="s">
        <v>869</v>
      </c>
      <c r="P376" t="s">
        <v>11</v>
      </c>
      <c r="Q376" t="str">
        <f t="shared" si="23"/>
        <v>Kid</v>
      </c>
    </row>
    <row r="377" spans="1:17" x14ac:dyDescent="0.3">
      <c r="A377" t="s">
        <v>870</v>
      </c>
      <c r="B377">
        <v>2025</v>
      </c>
      <c r="C377" s="5" t="s">
        <v>89</v>
      </c>
      <c r="D377" t="s">
        <v>31</v>
      </c>
      <c r="E377" s="4">
        <v>6.3</v>
      </c>
      <c r="F377" t="str">
        <f t="shared" si="20"/>
        <v>Don't Watch</v>
      </c>
      <c r="G377" t="str">
        <f t="shared" si="21"/>
        <v>Avg</v>
      </c>
      <c r="H377" t="str" cm="1">
        <f t="array" ref="H377">_xlfn.IFS(E377&gt;8,"Best",E377=7,"Good",E377&gt;7,"Good",E377&lt;7,"Avg",E377&lt;6,"Below Avg")</f>
        <v>Avg</v>
      </c>
      <c r="I377">
        <v>108</v>
      </c>
      <c r="K377" s="3">
        <v>26809119</v>
      </c>
      <c r="L377" s="3">
        <v>20872746</v>
      </c>
      <c r="M377" s="3">
        <f t="shared" si="22"/>
        <v>5936373</v>
      </c>
      <c r="N377" t="s">
        <v>871</v>
      </c>
      <c r="O377" t="s">
        <v>872</v>
      </c>
      <c r="P377" t="s">
        <v>11</v>
      </c>
      <c r="Q377" t="str">
        <f t="shared" si="23"/>
        <v>Kid</v>
      </c>
    </row>
    <row r="378" spans="1:17" x14ac:dyDescent="0.3">
      <c r="A378" t="s">
        <v>873</v>
      </c>
      <c r="B378">
        <v>2025</v>
      </c>
      <c r="C378" s="5" t="s">
        <v>89</v>
      </c>
      <c r="D378" t="s">
        <v>8</v>
      </c>
      <c r="E378" s="4">
        <v>7.2</v>
      </c>
      <c r="F378" t="str">
        <f t="shared" si="20"/>
        <v>Watch</v>
      </c>
      <c r="G378" t="str">
        <f t="shared" si="21"/>
        <v>Good</v>
      </c>
      <c r="H378" t="str" cm="1">
        <f t="array" ref="H378">_xlfn.IFS(E378&gt;8,"Best",E378=7,"Good",E378&gt;7,"Good",E378&lt;7,"Avg",E378&lt;6,"Below Avg")</f>
        <v>Good</v>
      </c>
      <c r="I378">
        <v>153</v>
      </c>
      <c r="K378" s="3">
        <v>28708929</v>
      </c>
      <c r="L378" s="3">
        <v>22139286</v>
      </c>
      <c r="M378" s="3">
        <f t="shared" si="22"/>
        <v>6569643</v>
      </c>
      <c r="N378" t="s">
        <v>874</v>
      </c>
      <c r="O378" t="s">
        <v>875</v>
      </c>
      <c r="P378" t="s">
        <v>11</v>
      </c>
      <c r="Q378" t="str">
        <f t="shared" si="23"/>
        <v>Kid</v>
      </c>
    </row>
    <row r="379" spans="1:17" x14ac:dyDescent="0.3">
      <c r="A379" t="s">
        <v>882</v>
      </c>
      <c r="B379">
        <v>2025</v>
      </c>
      <c r="C379" s="5" t="s">
        <v>89</v>
      </c>
      <c r="D379" t="s">
        <v>8</v>
      </c>
      <c r="E379" s="4">
        <v>7.9</v>
      </c>
      <c r="F379" t="str">
        <f t="shared" si="20"/>
        <v>Watch</v>
      </c>
      <c r="G379" t="str">
        <f t="shared" si="21"/>
        <v>Good</v>
      </c>
      <c r="H379" t="str" cm="1">
        <f t="array" ref="H379">_xlfn.IFS(E379&gt;8,"Best",E379=7,"Good",E379&gt;7,"Good",E379&lt;7,"Avg",E379&lt;6,"Below Avg")</f>
        <v>Good</v>
      </c>
      <c r="I379">
        <v>118</v>
      </c>
      <c r="K379" s="3">
        <v>28842249</v>
      </c>
      <c r="L379" s="3">
        <v>22228166</v>
      </c>
      <c r="M379" s="3">
        <f t="shared" si="22"/>
        <v>6614083</v>
      </c>
      <c r="N379" t="s">
        <v>324</v>
      </c>
      <c r="O379" t="s">
        <v>120</v>
      </c>
      <c r="P379" t="s">
        <v>11</v>
      </c>
      <c r="Q379" t="str">
        <f t="shared" si="23"/>
        <v>Kid</v>
      </c>
    </row>
    <row r="380" spans="1:17" x14ac:dyDescent="0.3">
      <c r="A380" t="s">
        <v>885</v>
      </c>
      <c r="B380">
        <v>2025</v>
      </c>
      <c r="C380" s="5" t="s">
        <v>89</v>
      </c>
      <c r="D380" t="s">
        <v>49</v>
      </c>
      <c r="E380" s="4">
        <v>6.8</v>
      </c>
      <c r="F380" t="str">
        <f t="shared" si="20"/>
        <v>Watch</v>
      </c>
      <c r="G380" t="str">
        <f t="shared" si="21"/>
        <v>Avg</v>
      </c>
      <c r="H380" t="str" cm="1">
        <f t="array" ref="H380">_xlfn.IFS(E380&gt;8,"Best",E380=7,"Good",E380&gt;7,"Good",E380&lt;7,"Avg",E380&lt;6,"Below Avg")</f>
        <v>Avg</v>
      </c>
      <c r="I380">
        <v>161</v>
      </c>
      <c r="K380" s="3">
        <v>27485718</v>
      </c>
      <c r="L380" s="3">
        <v>21323812</v>
      </c>
      <c r="M380" s="3">
        <f t="shared" si="22"/>
        <v>6161906</v>
      </c>
      <c r="N380" t="s">
        <v>886</v>
      </c>
      <c r="O380" t="s">
        <v>887</v>
      </c>
      <c r="P380" t="s">
        <v>11</v>
      </c>
      <c r="Q380" t="str">
        <f t="shared" si="23"/>
        <v>Kid</v>
      </c>
    </row>
    <row r="381" spans="1:17" x14ac:dyDescent="0.3">
      <c r="A381" t="s">
        <v>266</v>
      </c>
      <c r="B381">
        <v>2025</v>
      </c>
      <c r="C381" s="5" t="s">
        <v>89</v>
      </c>
      <c r="D381" t="s">
        <v>8</v>
      </c>
      <c r="E381" s="4">
        <v>8.1</v>
      </c>
      <c r="F381" t="str">
        <f t="shared" si="20"/>
        <v>Watch</v>
      </c>
      <c r="G381" t="str">
        <f t="shared" si="21"/>
        <v>Good</v>
      </c>
      <c r="H381" t="str" cm="1">
        <f t="array" ref="H381">_xlfn.IFS(E381&gt;8,"Best",E381=7,"Good",E381&gt;7,"Good",E381&lt;7,"Avg",E381&lt;6,"Below Avg")</f>
        <v>Best</v>
      </c>
      <c r="I381">
        <v>96</v>
      </c>
      <c r="K381" s="3">
        <v>28518948</v>
      </c>
      <c r="L381" s="3">
        <v>22012632</v>
      </c>
      <c r="M381" s="3">
        <f t="shared" si="22"/>
        <v>6506316</v>
      </c>
      <c r="O381" t="s">
        <v>396</v>
      </c>
      <c r="P381" t="s">
        <v>11</v>
      </c>
      <c r="Q381" t="str">
        <f t="shared" si="23"/>
        <v>Kid</v>
      </c>
    </row>
    <row r="382" spans="1:17" x14ac:dyDescent="0.3">
      <c r="A382" t="s">
        <v>888</v>
      </c>
      <c r="B382">
        <v>2025</v>
      </c>
      <c r="C382" s="5" t="s">
        <v>89</v>
      </c>
      <c r="D382" t="s">
        <v>2</v>
      </c>
      <c r="E382" s="4">
        <v>7.6</v>
      </c>
      <c r="F382" t="str">
        <f t="shared" si="20"/>
        <v>Watch</v>
      </c>
      <c r="G382" t="str">
        <f t="shared" si="21"/>
        <v>Good</v>
      </c>
      <c r="H382" t="str" cm="1">
        <f t="array" ref="H382">_xlfn.IFS(E382&gt;8,"Best",E382=7,"Good",E382&gt;7,"Good",E382&lt;7,"Avg",E382&lt;6,"Below Avg")</f>
        <v>Good</v>
      </c>
      <c r="I382">
        <v>115</v>
      </c>
      <c r="K382" s="3">
        <v>43053750</v>
      </c>
      <c r="L382" s="3">
        <v>12010500</v>
      </c>
      <c r="M382" s="3">
        <f t="shared" si="22"/>
        <v>31043250</v>
      </c>
      <c r="O382" t="s">
        <v>889</v>
      </c>
      <c r="P382" t="s">
        <v>4</v>
      </c>
      <c r="Q382" t="str">
        <f t="shared" si="23"/>
        <v>Adult</v>
      </c>
    </row>
    <row r="383" spans="1:17" x14ac:dyDescent="0.3">
      <c r="A383" t="s">
        <v>890</v>
      </c>
      <c r="B383">
        <v>2025</v>
      </c>
      <c r="C383" s="5" t="s">
        <v>89</v>
      </c>
      <c r="D383" t="s">
        <v>39</v>
      </c>
      <c r="E383" s="4">
        <v>7.5</v>
      </c>
      <c r="F383" t="str">
        <f t="shared" si="20"/>
        <v>Watch</v>
      </c>
      <c r="G383" t="str">
        <f t="shared" si="21"/>
        <v>Good</v>
      </c>
      <c r="H383" t="str" cm="1">
        <f t="array" ref="H383">_xlfn.IFS(E383&gt;8,"Best",E383=7,"Good",E383&gt;7,"Good",E383&lt;7,"Avg",E383&lt;6,"Below Avg")</f>
        <v>Good</v>
      </c>
      <c r="I383">
        <v>150</v>
      </c>
      <c r="K383" s="3">
        <v>27949005</v>
      </c>
      <c r="L383" s="3">
        <v>21632670</v>
      </c>
      <c r="M383" s="3">
        <f t="shared" si="22"/>
        <v>6316335</v>
      </c>
      <c r="N383" t="s">
        <v>891</v>
      </c>
      <c r="O383" t="s">
        <v>892</v>
      </c>
      <c r="P383" t="s">
        <v>11</v>
      </c>
      <c r="Q383" t="str">
        <f t="shared" si="23"/>
        <v>Kid</v>
      </c>
    </row>
    <row r="384" spans="1:17" x14ac:dyDescent="0.3">
      <c r="A384" t="s">
        <v>893</v>
      </c>
      <c r="B384">
        <v>2025</v>
      </c>
      <c r="C384" s="5" t="s">
        <v>89</v>
      </c>
      <c r="D384" t="s">
        <v>8</v>
      </c>
      <c r="E384" s="4">
        <v>7.3</v>
      </c>
      <c r="F384" t="str">
        <f t="shared" si="20"/>
        <v>Watch</v>
      </c>
      <c r="G384" t="str">
        <f t="shared" si="21"/>
        <v>Good</v>
      </c>
      <c r="H384" t="str" cm="1">
        <f t="array" ref="H384">_xlfn.IFS(E384&gt;8,"Best",E384=7,"Good",E384&gt;7,"Good",E384&lt;7,"Avg",E384&lt;6,"Below Avg")</f>
        <v>Good</v>
      </c>
      <c r="I384">
        <v>118</v>
      </c>
      <c r="K384" s="3">
        <v>26842449</v>
      </c>
      <c r="L384" s="3">
        <v>20894966</v>
      </c>
      <c r="M384" s="3">
        <f t="shared" si="22"/>
        <v>5947483</v>
      </c>
      <c r="N384" t="s">
        <v>894</v>
      </c>
      <c r="O384" t="s">
        <v>895</v>
      </c>
      <c r="P384" t="s">
        <v>11</v>
      </c>
      <c r="Q384" t="str">
        <f t="shared" si="23"/>
        <v>Kid</v>
      </c>
    </row>
    <row r="385" spans="1:17" x14ac:dyDescent="0.3">
      <c r="A385" t="s">
        <v>896</v>
      </c>
      <c r="B385">
        <v>2025</v>
      </c>
      <c r="C385" s="5" t="s">
        <v>89</v>
      </c>
      <c r="D385" t="s">
        <v>27</v>
      </c>
      <c r="E385" s="4">
        <v>8.8000000000000007</v>
      </c>
      <c r="F385" t="str">
        <f t="shared" si="20"/>
        <v>Watch</v>
      </c>
      <c r="G385" t="str">
        <f t="shared" si="21"/>
        <v>Best</v>
      </c>
      <c r="H385" t="str" cm="1">
        <f t="array" ref="H385">_xlfn.IFS(E385&gt;8,"Best",E385=7,"Good",E385&gt;7,"Good",E385&lt;7,"Avg",E385&lt;6,"Below Avg")</f>
        <v>Best</v>
      </c>
      <c r="I385">
        <v>148</v>
      </c>
      <c r="K385" s="3">
        <v>27442389</v>
      </c>
      <c r="L385" s="3">
        <v>21294926</v>
      </c>
      <c r="M385" s="3">
        <f t="shared" si="22"/>
        <v>6147463</v>
      </c>
      <c r="N385" t="s">
        <v>897</v>
      </c>
      <c r="O385" t="s">
        <v>898</v>
      </c>
      <c r="P385" t="s">
        <v>11</v>
      </c>
      <c r="Q385" t="str">
        <f t="shared" si="23"/>
        <v>Kid</v>
      </c>
    </row>
    <row r="386" spans="1:17" x14ac:dyDescent="0.3">
      <c r="A386" t="s">
        <v>901</v>
      </c>
      <c r="B386">
        <v>2025</v>
      </c>
      <c r="C386" s="5" t="s">
        <v>89</v>
      </c>
      <c r="D386" t="s">
        <v>27</v>
      </c>
      <c r="E386" s="4">
        <v>8.6</v>
      </c>
      <c r="F386" t="str">
        <f t="shared" ref="F386:F449" si="24">IF(E386&gt;6.5,"Watch","Don't Watch")</f>
        <v>Watch</v>
      </c>
      <c r="G386" t="str">
        <f t="shared" ref="G386:G449" si="25">IF(E386&gt;8.5,"Best",IF(E386&gt;7,"Good",IF(E386&gt;5,"Avg",IF(E386&lt;5,"Below Avg",IF(E386&lt;3,"Bad",)))))</f>
        <v>Best</v>
      </c>
      <c r="H386" t="str" cm="1">
        <f t="array" ref="H386">_xlfn.IFS(E386&gt;8,"Best",E386=7,"Good",E386&gt;7,"Good",E386&lt;7,"Avg",E386&lt;6,"Below Avg")</f>
        <v>Best</v>
      </c>
      <c r="I386">
        <v>146</v>
      </c>
      <c r="K386" s="3">
        <v>27435723</v>
      </c>
      <c r="L386" s="3">
        <v>21290482</v>
      </c>
      <c r="M386" s="3">
        <f t="shared" ref="M386:M449" si="26" xml:space="preserve"> (K386-L386)</f>
        <v>6145241</v>
      </c>
      <c r="N386" t="s">
        <v>902</v>
      </c>
      <c r="O386" t="s">
        <v>903</v>
      </c>
      <c r="P386" t="s">
        <v>11</v>
      </c>
      <c r="Q386" t="str">
        <f t="shared" ref="Q386:Q449" si="27">IF(P386="R","Adult","Kid")</f>
        <v>Kid</v>
      </c>
    </row>
    <row r="387" spans="1:17" x14ac:dyDescent="0.3">
      <c r="A387" t="s">
        <v>904</v>
      </c>
      <c r="B387">
        <v>2025</v>
      </c>
      <c r="C387" s="5" t="s">
        <v>89</v>
      </c>
      <c r="D387" t="s">
        <v>8</v>
      </c>
      <c r="E387" s="4">
        <v>8.3000000000000007</v>
      </c>
      <c r="F387" t="str">
        <f t="shared" si="24"/>
        <v>Watch</v>
      </c>
      <c r="G387" t="str">
        <f t="shared" si="25"/>
        <v>Good</v>
      </c>
      <c r="H387" t="str" cm="1">
        <f t="array" ref="H387">_xlfn.IFS(E387&gt;8,"Best",E387=7,"Good",E387&gt;7,"Good",E387&lt;7,"Avg",E387&lt;6,"Below Avg")</f>
        <v>Best</v>
      </c>
      <c r="I387">
        <v>152</v>
      </c>
      <c r="K387" s="3">
        <v>29955471</v>
      </c>
      <c r="L387" s="3">
        <v>22970314</v>
      </c>
      <c r="M387" s="3">
        <f t="shared" si="26"/>
        <v>6985157</v>
      </c>
      <c r="O387" t="s">
        <v>905</v>
      </c>
      <c r="P387" t="s">
        <v>11</v>
      </c>
      <c r="Q387" t="str">
        <f t="shared" si="27"/>
        <v>Kid</v>
      </c>
    </row>
    <row r="388" spans="1:17" x14ac:dyDescent="0.3">
      <c r="A388" t="s">
        <v>906</v>
      </c>
      <c r="B388">
        <v>2025</v>
      </c>
      <c r="C388" s="5" t="s">
        <v>89</v>
      </c>
      <c r="D388" t="s">
        <v>8</v>
      </c>
      <c r="E388" s="4">
        <v>8.4</v>
      </c>
      <c r="F388" t="str">
        <f t="shared" si="24"/>
        <v>Watch</v>
      </c>
      <c r="G388" t="str">
        <f t="shared" si="25"/>
        <v>Good</v>
      </c>
      <c r="H388" t="str" cm="1">
        <f t="array" ref="H388">_xlfn.IFS(E388&gt;8,"Best",E388=7,"Good",E388&gt;7,"Good",E388&lt;7,"Avg",E388&lt;6,"Below Avg")</f>
        <v>Best</v>
      </c>
      <c r="I388">
        <v>150</v>
      </c>
      <c r="K388" s="3">
        <v>28198980</v>
      </c>
      <c r="L388" s="3">
        <v>21799320</v>
      </c>
      <c r="M388" s="3">
        <f t="shared" si="26"/>
        <v>6399660</v>
      </c>
      <c r="N388" t="s">
        <v>907</v>
      </c>
      <c r="O388" t="s">
        <v>413</v>
      </c>
      <c r="P388" t="s">
        <v>11</v>
      </c>
      <c r="Q388" t="str">
        <f t="shared" si="27"/>
        <v>Kid</v>
      </c>
    </row>
    <row r="389" spans="1:17" x14ac:dyDescent="0.3">
      <c r="A389" t="s">
        <v>908</v>
      </c>
      <c r="B389">
        <v>2025</v>
      </c>
      <c r="C389" s="5" t="s">
        <v>89</v>
      </c>
      <c r="D389" t="s">
        <v>8</v>
      </c>
      <c r="E389" s="4">
        <v>7.9</v>
      </c>
      <c r="F389" t="str">
        <f t="shared" si="24"/>
        <v>Watch</v>
      </c>
      <c r="G389" t="str">
        <f t="shared" si="25"/>
        <v>Good</v>
      </c>
      <c r="H389" t="str" cm="1">
        <f t="array" ref="H389">_xlfn.IFS(E389&gt;8,"Best",E389=7,"Good",E389&gt;7,"Good",E389&lt;7,"Avg",E389&lt;6,"Below Avg")</f>
        <v>Good</v>
      </c>
      <c r="I389">
        <v>121</v>
      </c>
      <c r="K389" s="3">
        <v>27852348</v>
      </c>
      <c r="L389" s="3">
        <v>21568232</v>
      </c>
      <c r="M389" s="3">
        <f t="shared" si="26"/>
        <v>6284116</v>
      </c>
      <c r="O389" t="s">
        <v>909</v>
      </c>
      <c r="P389" t="s">
        <v>11</v>
      </c>
      <c r="Q389" t="str">
        <f t="shared" si="27"/>
        <v>Kid</v>
      </c>
    </row>
    <row r="390" spans="1:17" x14ac:dyDescent="0.3">
      <c r="A390" t="s">
        <v>910</v>
      </c>
      <c r="B390">
        <v>2025</v>
      </c>
      <c r="C390" s="5" t="s">
        <v>89</v>
      </c>
      <c r="D390" t="s">
        <v>31</v>
      </c>
      <c r="E390" s="4">
        <v>6</v>
      </c>
      <c r="F390" t="str">
        <f t="shared" si="24"/>
        <v>Don't Watch</v>
      </c>
      <c r="G390" t="str">
        <f t="shared" si="25"/>
        <v>Avg</v>
      </c>
      <c r="H390" t="str" cm="1">
        <f t="array" ref="H390">_xlfn.IFS(E390&gt;8,"Best",E390=7,"Good",E390&gt;7,"Good",E390&lt;7,"Avg",E390&lt;6,"Below Avg")</f>
        <v>Avg</v>
      </c>
      <c r="I390">
        <v>117</v>
      </c>
      <c r="K390" s="3">
        <v>33838416</v>
      </c>
      <c r="L390" s="3">
        <v>25558944</v>
      </c>
      <c r="M390" s="3">
        <f t="shared" si="26"/>
        <v>8279472</v>
      </c>
      <c r="O390" t="s">
        <v>911</v>
      </c>
      <c r="P390" t="s">
        <v>11</v>
      </c>
      <c r="Q390" t="str">
        <f t="shared" si="27"/>
        <v>Kid</v>
      </c>
    </row>
    <row r="391" spans="1:17" x14ac:dyDescent="0.3">
      <c r="A391" t="s">
        <v>816</v>
      </c>
      <c r="B391">
        <v>2025</v>
      </c>
      <c r="C391" s="5" t="s">
        <v>1</v>
      </c>
      <c r="D391" t="s">
        <v>2</v>
      </c>
      <c r="E391" s="4">
        <v>8.6999999999999993</v>
      </c>
      <c r="F391" t="str">
        <f t="shared" si="24"/>
        <v>Watch</v>
      </c>
      <c r="G391" t="str">
        <f t="shared" si="25"/>
        <v>Best</v>
      </c>
      <c r="H391" t="str" cm="1">
        <f t="array" ref="H391">_xlfn.IFS(E391&gt;8,"Best",E391=7,"Good",E391&gt;7,"Good",E391&lt;7,"Avg",E391&lt;6,"Below Avg")</f>
        <v>Best</v>
      </c>
      <c r="I391">
        <v>96</v>
      </c>
      <c r="K391" s="3">
        <v>41281705</v>
      </c>
      <c r="L391" s="3">
        <v>11616854</v>
      </c>
      <c r="M391" s="3">
        <f t="shared" si="26"/>
        <v>29664851</v>
      </c>
      <c r="N391" t="s">
        <v>817</v>
      </c>
      <c r="O391" t="s">
        <v>818</v>
      </c>
      <c r="P391" t="s">
        <v>4</v>
      </c>
      <c r="Q391" t="str">
        <f t="shared" si="27"/>
        <v>Adult</v>
      </c>
    </row>
    <row r="392" spans="1:17" x14ac:dyDescent="0.3">
      <c r="A392" t="s">
        <v>819</v>
      </c>
      <c r="B392">
        <v>2025</v>
      </c>
      <c r="C392" s="5" t="s">
        <v>1</v>
      </c>
      <c r="D392" t="s">
        <v>27</v>
      </c>
      <c r="E392" s="4">
        <v>7.4</v>
      </c>
      <c r="F392" t="str">
        <f t="shared" si="24"/>
        <v>Watch</v>
      </c>
      <c r="G392" t="str">
        <f t="shared" si="25"/>
        <v>Good</v>
      </c>
      <c r="H392" t="str" cm="1">
        <f t="array" ref="H392">_xlfn.IFS(E392&gt;8,"Best",E392=7,"Good",E392&gt;7,"Good",E392&lt;7,"Avg",E392&lt;6,"Below Avg")</f>
        <v>Good</v>
      </c>
      <c r="I392">
        <v>161</v>
      </c>
      <c r="K392" s="3">
        <v>29485518</v>
      </c>
      <c r="L392" s="3">
        <v>22657012</v>
      </c>
      <c r="M392" s="3">
        <f t="shared" si="26"/>
        <v>6828506</v>
      </c>
      <c r="N392" t="s">
        <v>109</v>
      </c>
      <c r="O392" t="s">
        <v>377</v>
      </c>
      <c r="P392" t="s">
        <v>11</v>
      </c>
      <c r="Q392" t="str">
        <f t="shared" si="27"/>
        <v>Kid</v>
      </c>
    </row>
    <row r="393" spans="1:17" x14ac:dyDescent="0.3">
      <c r="A393" t="s">
        <v>820</v>
      </c>
      <c r="B393">
        <v>2025</v>
      </c>
      <c r="C393" s="5" t="s">
        <v>1</v>
      </c>
      <c r="D393" t="s">
        <v>31</v>
      </c>
      <c r="E393" s="4">
        <v>8.4</v>
      </c>
      <c r="F393" t="str">
        <f t="shared" si="24"/>
        <v>Watch</v>
      </c>
      <c r="G393" t="str">
        <f t="shared" si="25"/>
        <v>Good</v>
      </c>
      <c r="H393" t="str" cm="1">
        <f t="array" ref="H393">_xlfn.IFS(E393&gt;8,"Best",E393=7,"Good",E393&gt;7,"Good",E393&lt;7,"Avg",E393&lt;6,"Below Avg")</f>
        <v>Best</v>
      </c>
      <c r="I393">
        <v>138</v>
      </c>
      <c r="K393" s="3">
        <v>29408859</v>
      </c>
      <c r="L393" s="3">
        <v>22605906</v>
      </c>
      <c r="M393" s="3">
        <f t="shared" si="26"/>
        <v>6802953</v>
      </c>
      <c r="N393" t="s">
        <v>821</v>
      </c>
      <c r="O393" t="s">
        <v>822</v>
      </c>
      <c r="P393" t="s">
        <v>11</v>
      </c>
      <c r="Q393" t="str">
        <f t="shared" si="27"/>
        <v>Kid</v>
      </c>
    </row>
    <row r="394" spans="1:17" x14ac:dyDescent="0.3">
      <c r="A394" t="s">
        <v>833</v>
      </c>
      <c r="B394">
        <v>2025</v>
      </c>
      <c r="C394" s="5" t="s">
        <v>1</v>
      </c>
      <c r="D394" t="s">
        <v>2</v>
      </c>
      <c r="E394" s="4">
        <v>7.1</v>
      </c>
      <c r="F394" t="str">
        <f t="shared" si="24"/>
        <v>Watch</v>
      </c>
      <c r="G394" t="str">
        <f t="shared" si="25"/>
        <v>Good</v>
      </c>
      <c r="H394" t="str" cm="1">
        <f t="array" ref="H394">_xlfn.IFS(E394&gt;8,"Best",E394=7,"Good",E394&gt;7,"Good",E394&lt;7,"Avg",E394&lt;6,"Below Avg")</f>
        <v>Good</v>
      </c>
      <c r="I394">
        <v>143</v>
      </c>
      <c r="K394" s="3">
        <v>43209290</v>
      </c>
      <c r="L394" s="3">
        <v>12045052</v>
      </c>
      <c r="M394" s="3">
        <f t="shared" si="26"/>
        <v>31164238</v>
      </c>
      <c r="N394" t="s">
        <v>834</v>
      </c>
      <c r="O394" t="s">
        <v>835</v>
      </c>
      <c r="P394" t="s">
        <v>4</v>
      </c>
      <c r="Q394" t="str">
        <f t="shared" si="27"/>
        <v>Adult</v>
      </c>
    </row>
    <row r="395" spans="1:17" x14ac:dyDescent="0.3">
      <c r="A395" t="s">
        <v>836</v>
      </c>
      <c r="B395">
        <v>2025</v>
      </c>
      <c r="C395" s="5" t="s">
        <v>1</v>
      </c>
      <c r="D395" t="s">
        <v>27</v>
      </c>
      <c r="E395" s="4">
        <v>8.1999999999999993</v>
      </c>
      <c r="F395" t="str">
        <f t="shared" si="24"/>
        <v>Watch</v>
      </c>
      <c r="G395" t="str">
        <f t="shared" si="25"/>
        <v>Good</v>
      </c>
      <c r="H395" t="str" cm="1">
        <f t="array" ref="H395">_xlfn.IFS(E395&gt;8,"Best",E395=7,"Good",E395&gt;7,"Good",E395&lt;7,"Avg",E395&lt;6,"Below Avg")</f>
        <v>Best</v>
      </c>
      <c r="I395">
        <v>139</v>
      </c>
      <c r="K395" s="3">
        <v>31162017</v>
      </c>
      <c r="L395" s="3">
        <v>23774678</v>
      </c>
      <c r="M395" s="3">
        <f t="shared" si="26"/>
        <v>7387339</v>
      </c>
      <c r="N395" t="s">
        <v>837</v>
      </c>
      <c r="O395" t="s">
        <v>838</v>
      </c>
      <c r="P395" t="s">
        <v>11</v>
      </c>
      <c r="Q395" t="str">
        <f t="shared" si="27"/>
        <v>Kid</v>
      </c>
    </row>
    <row r="396" spans="1:17" x14ac:dyDescent="0.3">
      <c r="A396" t="s">
        <v>839</v>
      </c>
      <c r="B396">
        <v>2025</v>
      </c>
      <c r="C396" s="5" t="s">
        <v>1</v>
      </c>
      <c r="D396" t="s">
        <v>8</v>
      </c>
      <c r="E396" s="4">
        <v>6.3</v>
      </c>
      <c r="F396" t="str">
        <f t="shared" si="24"/>
        <v>Don't Watch</v>
      </c>
      <c r="G396" t="str">
        <f t="shared" si="25"/>
        <v>Avg</v>
      </c>
      <c r="H396" t="str" cm="1">
        <f t="array" ref="H396">_xlfn.IFS(E396&gt;8,"Best",E396=7,"Good",E396&gt;7,"Good",E396&lt;7,"Avg",E396&lt;6,"Below Avg")</f>
        <v>Avg</v>
      </c>
      <c r="I396">
        <v>162</v>
      </c>
      <c r="K396" s="3">
        <v>28238976</v>
      </c>
      <c r="L396" s="3">
        <v>21825984</v>
      </c>
      <c r="M396" s="3">
        <f t="shared" si="26"/>
        <v>6412992</v>
      </c>
      <c r="N396" t="s">
        <v>840</v>
      </c>
      <c r="O396" t="s">
        <v>841</v>
      </c>
      <c r="P396" t="s">
        <v>11</v>
      </c>
      <c r="Q396" t="str">
        <f t="shared" si="27"/>
        <v>Kid</v>
      </c>
    </row>
    <row r="397" spans="1:17" x14ac:dyDescent="0.3">
      <c r="A397" t="s">
        <v>823</v>
      </c>
      <c r="B397">
        <v>2025</v>
      </c>
      <c r="C397" s="5" t="s">
        <v>1</v>
      </c>
      <c r="D397" t="s">
        <v>2</v>
      </c>
      <c r="E397" s="4">
        <v>7</v>
      </c>
      <c r="F397" t="str">
        <f t="shared" si="24"/>
        <v>Watch</v>
      </c>
      <c r="G397" t="str">
        <f t="shared" si="25"/>
        <v>Avg</v>
      </c>
      <c r="H397" t="str" cm="1">
        <f t="array" ref="H397">_xlfn.IFS(E397&gt;8,"Best",E397=7,"Good",E397&gt;7,"Good",E397&lt;7,"Avg",E397&lt;6,"Below Avg")</f>
        <v>Good</v>
      </c>
      <c r="I397">
        <v>139</v>
      </c>
      <c r="K397" s="3">
        <v>40270695</v>
      </c>
      <c r="L397" s="3">
        <v>11392266</v>
      </c>
      <c r="M397" s="3">
        <f t="shared" si="26"/>
        <v>28878429</v>
      </c>
      <c r="O397" t="s">
        <v>824</v>
      </c>
      <c r="P397" t="s">
        <v>4</v>
      </c>
      <c r="Q397" t="str">
        <f t="shared" si="27"/>
        <v>Adult</v>
      </c>
    </row>
    <row r="398" spans="1:17" x14ac:dyDescent="0.3">
      <c r="A398" t="s">
        <v>825</v>
      </c>
      <c r="B398">
        <v>2025</v>
      </c>
      <c r="C398" s="5" t="s">
        <v>1</v>
      </c>
      <c r="D398" t="s">
        <v>27</v>
      </c>
      <c r="E398" s="4">
        <v>7.2</v>
      </c>
      <c r="F398" t="str">
        <f t="shared" si="24"/>
        <v>Watch</v>
      </c>
      <c r="G398" t="str">
        <f t="shared" si="25"/>
        <v>Good</v>
      </c>
      <c r="H398" t="str" cm="1">
        <f t="array" ref="H398">_xlfn.IFS(E398&gt;8,"Best",E398=7,"Good",E398&gt;7,"Good",E398&lt;7,"Avg",E398&lt;6,"Below Avg")</f>
        <v>Good</v>
      </c>
      <c r="I398">
        <v>144</v>
      </c>
      <c r="K398" s="3">
        <v>28928907</v>
      </c>
      <c r="L398" s="3">
        <v>22285938</v>
      </c>
      <c r="M398" s="3">
        <f t="shared" si="26"/>
        <v>6642969</v>
      </c>
      <c r="O398" t="s">
        <v>826</v>
      </c>
      <c r="P398" t="s">
        <v>11</v>
      </c>
      <c r="Q398" t="str">
        <f t="shared" si="27"/>
        <v>Kid</v>
      </c>
    </row>
    <row r="399" spans="1:17" x14ac:dyDescent="0.3">
      <c r="A399" t="s">
        <v>827</v>
      </c>
      <c r="B399">
        <v>2025</v>
      </c>
      <c r="C399" s="5" t="s">
        <v>1</v>
      </c>
      <c r="D399" t="s">
        <v>39</v>
      </c>
      <c r="E399" s="4">
        <v>8.8000000000000007</v>
      </c>
      <c r="F399" t="str">
        <f t="shared" si="24"/>
        <v>Watch</v>
      </c>
      <c r="G399" t="str">
        <f t="shared" si="25"/>
        <v>Best</v>
      </c>
      <c r="H399" t="str" cm="1">
        <f t="array" ref="H399">_xlfn.IFS(E399&gt;8,"Best",E399=7,"Good",E399&gt;7,"Good",E399&lt;7,"Avg",E399&lt;6,"Below Avg")</f>
        <v>Best</v>
      </c>
      <c r="I399">
        <v>100</v>
      </c>
      <c r="K399" s="3">
        <v>26782455</v>
      </c>
      <c r="L399" s="3">
        <v>20854970</v>
      </c>
      <c r="M399" s="3">
        <f t="shared" si="26"/>
        <v>5927485</v>
      </c>
      <c r="N399" t="s">
        <v>828</v>
      </c>
      <c r="O399" t="s">
        <v>336</v>
      </c>
      <c r="P399" t="s">
        <v>11</v>
      </c>
      <c r="Q399" t="str">
        <f t="shared" si="27"/>
        <v>Kid</v>
      </c>
    </row>
    <row r="400" spans="1:17" x14ac:dyDescent="0.3">
      <c r="A400" t="s">
        <v>829</v>
      </c>
      <c r="B400">
        <v>2025</v>
      </c>
      <c r="C400" s="5" t="s">
        <v>1</v>
      </c>
      <c r="D400" t="s">
        <v>39</v>
      </c>
      <c r="E400" s="4">
        <v>9.1999999999999993</v>
      </c>
      <c r="F400" t="str">
        <f t="shared" si="24"/>
        <v>Watch</v>
      </c>
      <c r="G400" t="str">
        <f t="shared" si="25"/>
        <v>Best</v>
      </c>
      <c r="H400" t="str" cm="1">
        <f t="array" ref="H400">_xlfn.IFS(E400&gt;8,"Best",E400=7,"Good",E400&gt;7,"Good",E400&lt;7,"Avg",E400&lt;6,"Below Avg")</f>
        <v>Best</v>
      </c>
      <c r="I400">
        <v>131</v>
      </c>
      <c r="K400" s="3">
        <v>31635303</v>
      </c>
      <c r="L400" s="3">
        <v>24090202</v>
      </c>
      <c r="M400" s="3">
        <f t="shared" si="26"/>
        <v>7545101</v>
      </c>
      <c r="N400" t="s">
        <v>830</v>
      </c>
      <c r="O400" t="s">
        <v>831</v>
      </c>
      <c r="P400" t="s">
        <v>11</v>
      </c>
      <c r="Q400" t="str">
        <f t="shared" si="27"/>
        <v>Kid</v>
      </c>
    </row>
    <row r="401" spans="1:17" x14ac:dyDescent="0.3">
      <c r="A401" t="s">
        <v>832</v>
      </c>
      <c r="B401">
        <v>2025</v>
      </c>
      <c r="C401" s="5" t="s">
        <v>1</v>
      </c>
      <c r="D401" t="s">
        <v>8</v>
      </c>
      <c r="E401" s="4">
        <v>7</v>
      </c>
      <c r="F401" t="str">
        <f t="shared" si="24"/>
        <v>Watch</v>
      </c>
      <c r="G401" t="str">
        <f t="shared" si="25"/>
        <v>Avg</v>
      </c>
      <c r="H401" t="str" cm="1">
        <f t="array" ref="H401">_xlfn.IFS(E401&gt;8,"Best",E401=7,"Good",E401&gt;7,"Good",E401&lt;7,"Avg",E401&lt;6,"Below Avg")</f>
        <v>Good</v>
      </c>
      <c r="I401">
        <v>130</v>
      </c>
      <c r="K401" s="3">
        <v>30132120</v>
      </c>
      <c r="L401" s="3">
        <v>23088080</v>
      </c>
      <c r="M401" s="3">
        <f t="shared" si="26"/>
        <v>7044040</v>
      </c>
      <c r="O401" t="s">
        <v>336</v>
      </c>
      <c r="P401" t="s">
        <v>11</v>
      </c>
      <c r="Q401" t="str">
        <f t="shared" si="27"/>
        <v>Kid</v>
      </c>
    </row>
    <row r="402" spans="1:17" x14ac:dyDescent="0.3">
      <c r="A402" t="s">
        <v>842</v>
      </c>
      <c r="B402">
        <v>2025</v>
      </c>
      <c r="C402" s="5" t="s">
        <v>1</v>
      </c>
      <c r="D402" t="s">
        <v>49</v>
      </c>
      <c r="E402" s="4">
        <v>6.8</v>
      </c>
      <c r="F402" t="str">
        <f t="shared" si="24"/>
        <v>Watch</v>
      </c>
      <c r="G402" t="str">
        <f t="shared" si="25"/>
        <v>Avg</v>
      </c>
      <c r="H402" t="str" cm="1">
        <f t="array" ref="H402">_xlfn.IFS(E402&gt;8,"Best",E402=7,"Good",E402&gt;7,"Good",E402&lt;7,"Avg",E402&lt;6,"Below Avg")</f>
        <v>Avg</v>
      </c>
      <c r="I402">
        <v>161</v>
      </c>
      <c r="K402" s="3">
        <v>27485718</v>
      </c>
      <c r="L402" s="3">
        <v>21323812</v>
      </c>
      <c r="M402" s="3">
        <f t="shared" si="26"/>
        <v>6161906</v>
      </c>
      <c r="N402" t="s">
        <v>843</v>
      </c>
      <c r="O402" t="s">
        <v>844</v>
      </c>
      <c r="P402" t="s">
        <v>11</v>
      </c>
      <c r="Q402" t="str">
        <f t="shared" si="27"/>
        <v>Kid</v>
      </c>
    </row>
    <row r="403" spans="1:17" x14ac:dyDescent="0.3">
      <c r="A403" t="s">
        <v>845</v>
      </c>
      <c r="B403">
        <v>2025</v>
      </c>
      <c r="C403" s="5" t="s">
        <v>1</v>
      </c>
      <c r="D403" t="s">
        <v>8</v>
      </c>
      <c r="E403" s="4">
        <v>8.5</v>
      </c>
      <c r="F403" t="str">
        <f t="shared" si="24"/>
        <v>Watch</v>
      </c>
      <c r="G403" t="str">
        <f t="shared" si="25"/>
        <v>Good</v>
      </c>
      <c r="H403" t="str" cm="1">
        <f t="array" ref="H403">_xlfn.IFS(E403&gt;8,"Best",E403=7,"Good",E403&gt;7,"Good",E403&lt;7,"Avg",E403&lt;6,"Below Avg")</f>
        <v>Best</v>
      </c>
      <c r="I403">
        <v>160</v>
      </c>
      <c r="K403" s="3">
        <v>30732060</v>
      </c>
      <c r="L403" s="3">
        <v>23488040</v>
      </c>
      <c r="M403" s="3">
        <f t="shared" si="26"/>
        <v>7244020</v>
      </c>
      <c r="N403" t="s">
        <v>846</v>
      </c>
      <c r="O403" t="s">
        <v>847</v>
      </c>
      <c r="P403" t="s">
        <v>11</v>
      </c>
      <c r="Q403" t="str">
        <f t="shared" si="27"/>
        <v>Kid</v>
      </c>
    </row>
    <row r="404" spans="1:17" x14ac:dyDescent="0.3">
      <c r="A404" t="s">
        <v>848</v>
      </c>
      <c r="B404">
        <v>2025</v>
      </c>
      <c r="C404" s="5" t="s">
        <v>1</v>
      </c>
      <c r="D404" t="s">
        <v>39</v>
      </c>
      <c r="E404" s="4">
        <v>8</v>
      </c>
      <c r="F404" t="str">
        <f t="shared" si="24"/>
        <v>Watch</v>
      </c>
      <c r="G404" t="str">
        <f t="shared" si="25"/>
        <v>Good</v>
      </c>
      <c r="H404" t="str" cm="1">
        <f t="array" ref="H404">_xlfn.IFS(E404&gt;8,"Best",E404=7,"Good",E404&gt;7,"Good",E404&lt;7,"Avg",E404&lt;6,"Below Avg")</f>
        <v>Good</v>
      </c>
      <c r="I404">
        <v>95</v>
      </c>
      <c r="K404" s="3">
        <v>28515615</v>
      </c>
      <c r="L404" s="3">
        <v>22010410</v>
      </c>
      <c r="M404" s="3">
        <f t="shared" si="26"/>
        <v>6505205</v>
      </c>
      <c r="O404" t="s">
        <v>849</v>
      </c>
      <c r="P404" t="s">
        <v>11</v>
      </c>
      <c r="Q404" t="str">
        <f t="shared" si="27"/>
        <v>Kid</v>
      </c>
    </row>
    <row r="405" spans="1:17" x14ac:dyDescent="0.3">
      <c r="A405" t="s">
        <v>850</v>
      </c>
      <c r="B405">
        <v>2025</v>
      </c>
      <c r="C405" s="5" t="s">
        <v>1</v>
      </c>
      <c r="D405" t="s">
        <v>304</v>
      </c>
      <c r="E405" s="4">
        <v>8.5</v>
      </c>
      <c r="F405" t="str">
        <f t="shared" si="24"/>
        <v>Watch</v>
      </c>
      <c r="G405" t="str">
        <f t="shared" si="25"/>
        <v>Good</v>
      </c>
      <c r="H405" t="str" cm="1">
        <f t="array" ref="H405">_xlfn.IFS(E405&gt;8,"Best",E405=7,"Good",E405&gt;7,"Good",E405&lt;7,"Avg",E405&lt;6,"Below Avg")</f>
        <v>Best</v>
      </c>
      <c r="I405">
        <v>157</v>
      </c>
      <c r="K405" s="3">
        <v>28972236</v>
      </c>
      <c r="L405" s="3">
        <v>22314824</v>
      </c>
      <c r="M405" s="3">
        <f t="shared" si="26"/>
        <v>6657412</v>
      </c>
      <c r="O405" t="s">
        <v>187</v>
      </c>
      <c r="P405" t="s">
        <v>11</v>
      </c>
      <c r="Q405" t="str">
        <f t="shared" si="27"/>
        <v>Kid</v>
      </c>
    </row>
    <row r="406" spans="1:17" x14ac:dyDescent="0.3">
      <c r="A406" t="s">
        <v>851</v>
      </c>
      <c r="B406">
        <v>2025</v>
      </c>
      <c r="C406" s="5" t="s">
        <v>1</v>
      </c>
      <c r="D406" t="s">
        <v>304</v>
      </c>
      <c r="E406" s="4">
        <v>6.1</v>
      </c>
      <c r="F406" t="str">
        <f t="shared" si="24"/>
        <v>Don't Watch</v>
      </c>
      <c r="G406" t="str">
        <f t="shared" si="25"/>
        <v>Avg</v>
      </c>
      <c r="H406" t="str" cm="1">
        <f t="array" ref="H406">_xlfn.IFS(E406&gt;8,"Best",E406=7,"Good",E406&gt;7,"Good",E406&lt;7,"Avg",E406&lt;6,"Below Avg")</f>
        <v>Avg</v>
      </c>
      <c r="I406">
        <v>142</v>
      </c>
      <c r="K406" s="3">
        <v>28672266</v>
      </c>
      <c r="L406" s="3">
        <v>22114844</v>
      </c>
      <c r="M406" s="3">
        <f t="shared" si="26"/>
        <v>6557422</v>
      </c>
      <c r="N406" t="s">
        <v>139</v>
      </c>
      <c r="O406" t="s">
        <v>852</v>
      </c>
      <c r="P406" t="s">
        <v>11</v>
      </c>
      <c r="Q406" t="str">
        <f t="shared" si="27"/>
        <v>Kid</v>
      </c>
    </row>
    <row r="407" spans="1:17" x14ac:dyDescent="0.3">
      <c r="A407" t="s">
        <v>853</v>
      </c>
      <c r="B407">
        <v>2025</v>
      </c>
      <c r="C407" s="5" t="s">
        <v>1</v>
      </c>
      <c r="D407" t="s">
        <v>27</v>
      </c>
      <c r="E407" s="4">
        <v>6.4</v>
      </c>
      <c r="F407" t="str">
        <f t="shared" si="24"/>
        <v>Don't Watch</v>
      </c>
      <c r="G407" t="str">
        <f t="shared" si="25"/>
        <v>Avg</v>
      </c>
      <c r="H407" t="str" cm="1">
        <f t="array" ref="H407">_xlfn.IFS(E407&gt;8,"Best",E407=7,"Good",E407&gt;7,"Good",E407&lt;7,"Avg",E407&lt;6,"Below Avg")</f>
        <v>Avg</v>
      </c>
      <c r="I407">
        <v>91</v>
      </c>
      <c r="K407" s="3">
        <v>30002133</v>
      </c>
      <c r="L407" s="3">
        <v>23001422</v>
      </c>
      <c r="M407" s="3">
        <f t="shared" si="26"/>
        <v>7000711</v>
      </c>
      <c r="N407" t="s">
        <v>574</v>
      </c>
      <c r="O407" t="s">
        <v>854</v>
      </c>
      <c r="P407" t="s">
        <v>11</v>
      </c>
      <c r="Q407" t="str">
        <f t="shared" si="27"/>
        <v>Kid</v>
      </c>
    </row>
    <row r="408" spans="1:17" x14ac:dyDescent="0.3">
      <c r="A408" t="s">
        <v>855</v>
      </c>
      <c r="B408">
        <v>2025</v>
      </c>
      <c r="C408" s="5" t="s">
        <v>1</v>
      </c>
      <c r="D408" t="s">
        <v>27</v>
      </c>
      <c r="E408" s="4">
        <v>9</v>
      </c>
      <c r="F408" t="str">
        <f t="shared" si="24"/>
        <v>Watch</v>
      </c>
      <c r="G408" t="str">
        <f t="shared" si="25"/>
        <v>Best</v>
      </c>
      <c r="H408" t="str" cm="1">
        <f t="array" ref="H408">_xlfn.IFS(E408&gt;8,"Best",E408=7,"Good",E408&gt;7,"Good",E408&lt;7,"Avg",E408&lt;6,"Below Avg")</f>
        <v>Best</v>
      </c>
      <c r="I408">
        <v>156</v>
      </c>
      <c r="K408" s="3">
        <v>28218978</v>
      </c>
      <c r="L408" s="3">
        <v>21812652</v>
      </c>
      <c r="M408" s="3">
        <f t="shared" si="26"/>
        <v>6406326</v>
      </c>
      <c r="O408" t="s">
        <v>856</v>
      </c>
      <c r="P408" t="s">
        <v>11</v>
      </c>
      <c r="Q408" t="str">
        <f t="shared" si="27"/>
        <v>Kid</v>
      </c>
    </row>
    <row r="409" spans="1:17" x14ac:dyDescent="0.3">
      <c r="A409" t="s">
        <v>857</v>
      </c>
      <c r="B409">
        <v>2025</v>
      </c>
      <c r="C409" s="5" t="s">
        <v>1</v>
      </c>
      <c r="D409" t="s">
        <v>8</v>
      </c>
      <c r="E409" s="4">
        <v>7.6</v>
      </c>
      <c r="F409" t="str">
        <f t="shared" si="24"/>
        <v>Watch</v>
      </c>
      <c r="G409" t="str">
        <f t="shared" si="25"/>
        <v>Good</v>
      </c>
      <c r="H409" t="str" cm="1">
        <f t="array" ref="H409">_xlfn.IFS(E409&gt;8,"Best",E409=7,"Good",E409&gt;7,"Good",E409&lt;7,"Avg",E409&lt;6,"Below Avg")</f>
        <v>Good</v>
      </c>
      <c r="I409">
        <v>148</v>
      </c>
      <c r="K409" s="3">
        <v>28942239</v>
      </c>
      <c r="L409" s="3">
        <v>22294826</v>
      </c>
      <c r="M409" s="3">
        <f t="shared" si="26"/>
        <v>6647413</v>
      </c>
      <c r="O409" t="s">
        <v>858</v>
      </c>
      <c r="P409" t="s">
        <v>11</v>
      </c>
      <c r="Q409" t="str">
        <f t="shared" si="27"/>
        <v>Kid</v>
      </c>
    </row>
    <row r="410" spans="1:17" x14ac:dyDescent="0.3">
      <c r="A410" t="s">
        <v>1117</v>
      </c>
      <c r="B410">
        <v>2025</v>
      </c>
      <c r="C410" s="5" t="s">
        <v>434</v>
      </c>
      <c r="D410" t="s">
        <v>27</v>
      </c>
      <c r="E410" s="4">
        <v>6.7</v>
      </c>
      <c r="F410" t="str">
        <f t="shared" si="24"/>
        <v>Watch</v>
      </c>
      <c r="G410" t="str">
        <f t="shared" si="25"/>
        <v>Avg</v>
      </c>
      <c r="H410" t="str" cm="1">
        <f t="array" ref="H410">_xlfn.IFS(E410&gt;8,"Best",E410=7,"Good",E410&gt;7,"Good",E410&lt;7,"Avg",E410&lt;6,"Below Avg")</f>
        <v>Avg</v>
      </c>
      <c r="I410">
        <v>130</v>
      </c>
      <c r="K410" s="3">
        <v>501416925</v>
      </c>
      <c r="L410" s="3">
        <v>167996965</v>
      </c>
      <c r="M410" s="3">
        <f t="shared" si="26"/>
        <v>333419960</v>
      </c>
      <c r="N410" t="s">
        <v>1118</v>
      </c>
      <c r="O410" t="s">
        <v>1119</v>
      </c>
      <c r="P410" t="s">
        <v>11</v>
      </c>
      <c r="Q410" t="str">
        <f t="shared" si="27"/>
        <v>Kid</v>
      </c>
    </row>
    <row r="411" spans="1:17" x14ac:dyDescent="0.3">
      <c r="A411" t="s">
        <v>1129</v>
      </c>
      <c r="B411">
        <v>2025</v>
      </c>
      <c r="C411" s="5" t="s">
        <v>434</v>
      </c>
      <c r="D411" t="s">
        <v>93</v>
      </c>
      <c r="E411" s="4">
        <v>6.1</v>
      </c>
      <c r="F411" t="str">
        <f t="shared" si="24"/>
        <v>Don't Watch</v>
      </c>
      <c r="G411" t="str">
        <f t="shared" si="25"/>
        <v>Avg</v>
      </c>
      <c r="H411" t="str" cm="1">
        <f t="array" ref="H411">_xlfn.IFS(E411&gt;8,"Best",E411=7,"Good",E411&gt;7,"Good",E411&lt;7,"Avg",E411&lt;6,"Below Avg")</f>
        <v>Avg</v>
      </c>
      <c r="I411">
        <v>133</v>
      </c>
      <c r="K411" s="3">
        <v>28892244</v>
      </c>
      <c r="L411" s="3">
        <v>22261496</v>
      </c>
      <c r="M411" s="3">
        <f t="shared" si="26"/>
        <v>6630748</v>
      </c>
      <c r="N411" t="s">
        <v>1130</v>
      </c>
      <c r="O411" t="s">
        <v>1131</v>
      </c>
      <c r="P411" t="s">
        <v>11</v>
      </c>
      <c r="Q411" t="str">
        <f t="shared" si="27"/>
        <v>Kid</v>
      </c>
    </row>
    <row r="412" spans="1:17" x14ac:dyDescent="0.3">
      <c r="A412" t="s">
        <v>1132</v>
      </c>
      <c r="B412">
        <v>2025</v>
      </c>
      <c r="C412" s="5" t="s">
        <v>434</v>
      </c>
      <c r="D412" t="s">
        <v>19</v>
      </c>
      <c r="E412" s="4">
        <v>7</v>
      </c>
      <c r="F412" t="str">
        <f t="shared" si="24"/>
        <v>Watch</v>
      </c>
      <c r="G412" t="str">
        <f t="shared" si="25"/>
        <v>Avg</v>
      </c>
      <c r="H412" t="str" cm="1">
        <f t="array" ref="H412">_xlfn.IFS(E412&gt;8,"Best",E412=7,"Good",E412&gt;7,"Good",E412&lt;7,"Avg",E412&lt;6,"Below Avg")</f>
        <v>Good</v>
      </c>
      <c r="I412">
        <v>151</v>
      </c>
      <c r="K412" s="3">
        <v>28702263</v>
      </c>
      <c r="L412" s="3">
        <v>22134842</v>
      </c>
      <c r="M412" s="3">
        <f t="shared" si="26"/>
        <v>6567421</v>
      </c>
      <c r="N412" t="s">
        <v>1133</v>
      </c>
      <c r="O412" t="s">
        <v>572</v>
      </c>
      <c r="P412" t="s">
        <v>11</v>
      </c>
      <c r="Q412" t="str">
        <f t="shared" si="27"/>
        <v>Kid</v>
      </c>
    </row>
    <row r="413" spans="1:17" x14ac:dyDescent="0.3">
      <c r="A413" t="s">
        <v>1134</v>
      </c>
      <c r="B413">
        <v>2025</v>
      </c>
      <c r="C413" s="5" t="s">
        <v>434</v>
      </c>
      <c r="D413" t="s">
        <v>2</v>
      </c>
      <c r="E413" s="4">
        <v>6.6</v>
      </c>
      <c r="F413" t="str">
        <f t="shared" si="24"/>
        <v>Watch</v>
      </c>
      <c r="G413" t="str">
        <f t="shared" si="25"/>
        <v>Avg</v>
      </c>
      <c r="H413" t="str" cm="1">
        <f t="array" ref="H413">_xlfn.IFS(E413&gt;8,"Best",E413=7,"Good",E413&gt;7,"Good",E413&lt;7,"Avg",E413&lt;6,"Below Avg")</f>
        <v>Avg</v>
      </c>
      <c r="I413">
        <v>156</v>
      </c>
      <c r="K413" s="3">
        <v>51614005</v>
      </c>
      <c r="L413" s="3">
        <v>13912094</v>
      </c>
      <c r="M413" s="3">
        <f t="shared" si="26"/>
        <v>37701911</v>
      </c>
      <c r="N413" t="s">
        <v>1135</v>
      </c>
      <c r="O413" t="s">
        <v>1136</v>
      </c>
      <c r="P413" t="s">
        <v>4</v>
      </c>
      <c r="Q413" t="str">
        <f t="shared" si="27"/>
        <v>Adult</v>
      </c>
    </row>
    <row r="414" spans="1:17" x14ac:dyDescent="0.3">
      <c r="A414" t="s">
        <v>1137</v>
      </c>
      <c r="B414">
        <v>2025</v>
      </c>
      <c r="C414" s="5" t="s">
        <v>434</v>
      </c>
      <c r="D414" t="s">
        <v>27</v>
      </c>
      <c r="E414" s="4">
        <v>7.7</v>
      </c>
      <c r="F414" t="str">
        <f t="shared" si="24"/>
        <v>Watch</v>
      </c>
      <c r="G414" t="str">
        <f t="shared" si="25"/>
        <v>Good</v>
      </c>
      <c r="H414" t="str" cm="1">
        <f t="array" ref="H414">_xlfn.IFS(E414&gt;8,"Best",E414=7,"Good",E414&gt;7,"Good",E414&lt;7,"Avg",E414&lt;6,"Below Avg")</f>
        <v>Good</v>
      </c>
      <c r="I414">
        <v>101</v>
      </c>
      <c r="K414" s="3">
        <v>33785088</v>
      </c>
      <c r="L414" s="3">
        <v>25523392</v>
      </c>
      <c r="M414" s="3">
        <f t="shared" si="26"/>
        <v>8261696</v>
      </c>
      <c r="O414" t="s">
        <v>1138</v>
      </c>
      <c r="P414" t="s">
        <v>11</v>
      </c>
      <c r="Q414" t="str">
        <f t="shared" si="27"/>
        <v>Kid</v>
      </c>
    </row>
    <row r="415" spans="1:17" x14ac:dyDescent="0.3">
      <c r="A415" t="s">
        <v>1145</v>
      </c>
      <c r="B415">
        <v>2025</v>
      </c>
      <c r="C415" s="5" t="s">
        <v>434</v>
      </c>
      <c r="D415" t="s">
        <v>35</v>
      </c>
      <c r="E415" s="4">
        <v>8.6999999999999993</v>
      </c>
      <c r="F415" t="str">
        <f t="shared" si="24"/>
        <v>Watch</v>
      </c>
      <c r="G415" t="str">
        <f t="shared" si="25"/>
        <v>Best</v>
      </c>
      <c r="H415" t="str" cm="1">
        <f t="array" ref="H415">_xlfn.IFS(E415&gt;8,"Best",E415=7,"Good",E415&gt;7,"Good",E415&lt;7,"Avg",E415&lt;6,"Below Avg")</f>
        <v>Best</v>
      </c>
      <c r="I415">
        <v>144</v>
      </c>
      <c r="K415" s="3">
        <v>25679232</v>
      </c>
      <c r="L415" s="3">
        <v>20119488</v>
      </c>
      <c r="M415" s="3">
        <f t="shared" si="26"/>
        <v>5559744</v>
      </c>
      <c r="O415" t="s">
        <v>858</v>
      </c>
      <c r="P415" t="s">
        <v>11</v>
      </c>
      <c r="Q415" t="str">
        <f t="shared" si="27"/>
        <v>Kid</v>
      </c>
    </row>
    <row r="416" spans="1:17" x14ac:dyDescent="0.3">
      <c r="A416" t="s">
        <v>1146</v>
      </c>
      <c r="B416">
        <v>2025</v>
      </c>
      <c r="C416" s="5" t="s">
        <v>434</v>
      </c>
      <c r="D416" t="s">
        <v>116</v>
      </c>
      <c r="E416" s="4">
        <v>6</v>
      </c>
      <c r="F416" t="str">
        <f t="shared" si="24"/>
        <v>Don't Watch</v>
      </c>
      <c r="G416" t="str">
        <f t="shared" si="25"/>
        <v>Avg</v>
      </c>
      <c r="H416" t="str" cm="1">
        <f t="array" ref="H416">_xlfn.IFS(E416&gt;8,"Best",E416=7,"Good",E416&gt;7,"Good",E416&lt;7,"Avg",E416&lt;6,"Below Avg")</f>
        <v>Avg</v>
      </c>
      <c r="I416">
        <v>99</v>
      </c>
      <c r="K416" s="3">
        <v>34278372</v>
      </c>
      <c r="L416" s="3">
        <v>25852248</v>
      </c>
      <c r="M416" s="3">
        <f t="shared" si="26"/>
        <v>8426124</v>
      </c>
      <c r="N416" t="s">
        <v>1147</v>
      </c>
      <c r="O416" t="s">
        <v>884</v>
      </c>
      <c r="P416" t="s">
        <v>11</v>
      </c>
      <c r="Q416" t="str">
        <f t="shared" si="27"/>
        <v>Kid</v>
      </c>
    </row>
    <row r="417" spans="1:17" x14ac:dyDescent="0.3">
      <c r="A417" t="s">
        <v>1120</v>
      </c>
      <c r="B417">
        <v>2025</v>
      </c>
      <c r="C417" s="5" t="s">
        <v>434</v>
      </c>
      <c r="D417" t="s">
        <v>49</v>
      </c>
      <c r="E417" s="4">
        <v>7.2</v>
      </c>
      <c r="F417" t="str">
        <f t="shared" si="24"/>
        <v>Watch</v>
      </c>
      <c r="G417" t="str">
        <f t="shared" si="25"/>
        <v>Good</v>
      </c>
      <c r="H417" t="str" cm="1">
        <f t="array" ref="H417">_xlfn.IFS(E417&gt;8,"Best",E417=7,"Good",E417&gt;7,"Good",E417&lt;7,"Avg",E417&lt;6,"Below Avg")</f>
        <v>Good</v>
      </c>
      <c r="I417">
        <v>111</v>
      </c>
      <c r="K417" s="3">
        <v>28818918</v>
      </c>
      <c r="L417" s="3">
        <v>22212612</v>
      </c>
      <c r="M417" s="3">
        <f t="shared" si="26"/>
        <v>6606306</v>
      </c>
      <c r="N417" t="s">
        <v>1121</v>
      </c>
      <c r="O417" t="s">
        <v>1122</v>
      </c>
      <c r="P417" t="s">
        <v>11</v>
      </c>
      <c r="Q417" t="str">
        <f t="shared" si="27"/>
        <v>Kid</v>
      </c>
    </row>
    <row r="418" spans="1:17" x14ac:dyDescent="0.3">
      <c r="A418" t="s">
        <v>1123</v>
      </c>
      <c r="B418">
        <v>2025</v>
      </c>
      <c r="C418" s="5" t="s">
        <v>434</v>
      </c>
      <c r="D418" t="s">
        <v>8</v>
      </c>
      <c r="E418" s="4">
        <v>6</v>
      </c>
      <c r="F418" t="str">
        <f t="shared" si="24"/>
        <v>Don't Watch</v>
      </c>
      <c r="G418" t="str">
        <f t="shared" si="25"/>
        <v>Avg</v>
      </c>
      <c r="H418" t="str" cm="1">
        <f t="array" ref="H418">_xlfn.IFS(E418&gt;8,"Best",E418=7,"Good",E418&gt;7,"Good",E418&lt;7,"Avg",E418&lt;6,"Below Avg")</f>
        <v>Avg</v>
      </c>
      <c r="I418">
        <v>90</v>
      </c>
      <c r="K418" s="3">
        <v>28998900</v>
      </c>
      <c r="L418" s="3">
        <v>22332600</v>
      </c>
      <c r="M418" s="3">
        <f t="shared" si="26"/>
        <v>6666300</v>
      </c>
      <c r="N418" t="s">
        <v>1124</v>
      </c>
      <c r="O418" t="s">
        <v>1125</v>
      </c>
      <c r="P418" t="s">
        <v>11</v>
      </c>
      <c r="Q418" t="str">
        <f t="shared" si="27"/>
        <v>Kid</v>
      </c>
    </row>
    <row r="419" spans="1:17" x14ac:dyDescent="0.3">
      <c r="A419" t="s">
        <v>1126</v>
      </c>
      <c r="B419">
        <v>2025</v>
      </c>
      <c r="C419" s="5" t="s">
        <v>434</v>
      </c>
      <c r="D419" t="s">
        <v>8</v>
      </c>
      <c r="E419" s="4">
        <v>7.4</v>
      </c>
      <c r="F419" t="str">
        <f t="shared" si="24"/>
        <v>Watch</v>
      </c>
      <c r="G419" t="str">
        <f t="shared" si="25"/>
        <v>Good</v>
      </c>
      <c r="H419" t="str" cm="1">
        <f t="array" ref="H419">_xlfn.IFS(E419&gt;8,"Best",E419=7,"Good",E419&gt;7,"Good",E419&lt;7,"Avg",E419&lt;6,"Below Avg")</f>
        <v>Good</v>
      </c>
      <c r="I419">
        <v>128</v>
      </c>
      <c r="K419" s="3">
        <v>34874979</v>
      </c>
      <c r="L419" s="3">
        <v>26249986</v>
      </c>
      <c r="M419" s="3">
        <f t="shared" si="26"/>
        <v>8624993</v>
      </c>
      <c r="N419" t="s">
        <v>1127</v>
      </c>
      <c r="O419" t="s">
        <v>1128</v>
      </c>
      <c r="P419" t="s">
        <v>11</v>
      </c>
      <c r="Q419" t="str">
        <f t="shared" si="27"/>
        <v>Kid</v>
      </c>
    </row>
    <row r="420" spans="1:17" x14ac:dyDescent="0.3">
      <c r="A420" t="s">
        <v>1139</v>
      </c>
      <c r="B420">
        <v>2025</v>
      </c>
      <c r="C420" s="5" t="s">
        <v>434</v>
      </c>
      <c r="D420" t="s">
        <v>93</v>
      </c>
      <c r="E420" s="4">
        <v>8.5</v>
      </c>
      <c r="F420" t="str">
        <f t="shared" si="24"/>
        <v>Watch</v>
      </c>
      <c r="G420" t="str">
        <f t="shared" si="25"/>
        <v>Good</v>
      </c>
      <c r="H420" t="str" cm="1">
        <f t="array" ref="H420">_xlfn.IFS(E420&gt;8,"Best",E420=7,"Good",E420&gt;7,"Good",E420&lt;7,"Avg",E420&lt;6,"Below Avg")</f>
        <v>Best</v>
      </c>
      <c r="I420">
        <v>130</v>
      </c>
      <c r="K420" s="3">
        <v>26882445</v>
      </c>
      <c r="L420" s="3">
        <v>20921630</v>
      </c>
      <c r="M420" s="3">
        <f t="shared" si="26"/>
        <v>5960815</v>
      </c>
      <c r="N420" t="s">
        <v>1140</v>
      </c>
      <c r="O420" t="s">
        <v>1141</v>
      </c>
      <c r="P420" t="s">
        <v>11</v>
      </c>
      <c r="Q420" t="str">
        <f t="shared" si="27"/>
        <v>Kid</v>
      </c>
    </row>
    <row r="421" spans="1:17" x14ac:dyDescent="0.3">
      <c r="A421" t="s">
        <v>1142</v>
      </c>
      <c r="B421">
        <v>2025</v>
      </c>
      <c r="C421" s="5" t="s">
        <v>434</v>
      </c>
      <c r="D421" t="s">
        <v>8</v>
      </c>
      <c r="E421" s="4">
        <v>7.9</v>
      </c>
      <c r="F421" t="str">
        <f t="shared" si="24"/>
        <v>Watch</v>
      </c>
      <c r="G421" t="str">
        <f t="shared" si="25"/>
        <v>Good</v>
      </c>
      <c r="H421" t="str" cm="1">
        <f t="array" ref="H421">_xlfn.IFS(E421&gt;8,"Best",E421=7,"Good",E421&gt;7,"Good",E421&lt;7,"Avg",E421&lt;6,"Below Avg")</f>
        <v>Good</v>
      </c>
      <c r="I421">
        <v>145</v>
      </c>
      <c r="K421" s="3">
        <v>28182315</v>
      </c>
      <c r="L421" s="3">
        <v>21788210</v>
      </c>
      <c r="M421" s="3">
        <f t="shared" si="26"/>
        <v>6394105</v>
      </c>
      <c r="O421" t="s">
        <v>497</v>
      </c>
      <c r="P421" t="s">
        <v>11</v>
      </c>
      <c r="Q421" t="str">
        <f t="shared" si="27"/>
        <v>Kid</v>
      </c>
    </row>
    <row r="422" spans="1:17" x14ac:dyDescent="0.3">
      <c r="A422" t="s">
        <v>1143</v>
      </c>
      <c r="B422">
        <v>2025</v>
      </c>
      <c r="C422" s="5" t="s">
        <v>434</v>
      </c>
      <c r="D422" t="s">
        <v>27</v>
      </c>
      <c r="E422" s="4">
        <v>8.3000000000000007</v>
      </c>
      <c r="F422" t="str">
        <f t="shared" si="24"/>
        <v>Watch</v>
      </c>
      <c r="G422" t="str">
        <f t="shared" si="25"/>
        <v>Good</v>
      </c>
      <c r="H422" t="str" cm="1">
        <f t="array" ref="H422">_xlfn.IFS(E422&gt;8,"Best",E422=7,"Good",E422&gt;7,"Good",E422&lt;7,"Avg",E422&lt;6,"Below Avg")</f>
        <v>Best</v>
      </c>
      <c r="I422">
        <v>149</v>
      </c>
      <c r="K422" s="3">
        <v>28195647</v>
      </c>
      <c r="L422" s="3">
        <v>21797098</v>
      </c>
      <c r="M422" s="3">
        <f t="shared" si="26"/>
        <v>6398549</v>
      </c>
      <c r="O422" t="s">
        <v>1144</v>
      </c>
      <c r="P422" t="s">
        <v>11</v>
      </c>
      <c r="Q422" t="str">
        <f t="shared" si="27"/>
        <v>Kid</v>
      </c>
    </row>
    <row r="423" spans="1:17" x14ac:dyDescent="0.3">
      <c r="A423" t="s">
        <v>1148</v>
      </c>
      <c r="B423">
        <v>2025</v>
      </c>
      <c r="C423" s="5" t="s">
        <v>434</v>
      </c>
      <c r="D423" t="s">
        <v>304</v>
      </c>
      <c r="E423" s="4">
        <v>6.6</v>
      </c>
      <c r="F423" t="str">
        <f t="shared" si="24"/>
        <v>Watch</v>
      </c>
      <c r="G423" t="str">
        <f t="shared" si="25"/>
        <v>Avg</v>
      </c>
      <c r="H423" t="str" cm="1">
        <f t="array" ref="H423">_xlfn.IFS(E423&gt;8,"Best",E423=7,"Good",E423&gt;7,"Good",E423&lt;7,"Avg",E423&lt;6,"Below Avg")</f>
        <v>Avg</v>
      </c>
      <c r="I423">
        <v>162</v>
      </c>
      <c r="K423" s="3">
        <v>29238876</v>
      </c>
      <c r="L423" s="3">
        <v>22492584</v>
      </c>
      <c r="M423" s="3">
        <f t="shared" si="26"/>
        <v>6746292</v>
      </c>
      <c r="N423" t="s">
        <v>1149</v>
      </c>
      <c r="O423" t="s">
        <v>862</v>
      </c>
      <c r="P423" t="s">
        <v>11</v>
      </c>
      <c r="Q423" t="str">
        <f t="shared" si="27"/>
        <v>Kid</v>
      </c>
    </row>
    <row r="424" spans="1:17" x14ac:dyDescent="0.3">
      <c r="A424" t="s">
        <v>1150</v>
      </c>
      <c r="B424">
        <v>2025</v>
      </c>
      <c r="C424" s="5" t="s">
        <v>434</v>
      </c>
      <c r="D424" t="s">
        <v>2</v>
      </c>
      <c r="E424" s="4">
        <v>6</v>
      </c>
      <c r="F424" t="str">
        <f t="shared" si="24"/>
        <v>Don't Watch</v>
      </c>
      <c r="G424" t="str">
        <f t="shared" si="25"/>
        <v>Avg</v>
      </c>
      <c r="H424" t="str" cm="1">
        <f t="array" ref="H424">_xlfn.IFS(E424&gt;8,"Best",E424=7,"Good",E424&gt;7,"Good",E424&lt;7,"Avg",E424&lt;6,"Below Avg")</f>
        <v>Avg</v>
      </c>
      <c r="I424">
        <v>129</v>
      </c>
      <c r="K424" s="3">
        <v>40215145</v>
      </c>
      <c r="L424" s="3">
        <v>11379926</v>
      </c>
      <c r="M424" s="3">
        <f t="shared" si="26"/>
        <v>28835219</v>
      </c>
      <c r="O424" t="s">
        <v>1151</v>
      </c>
      <c r="P424" t="s">
        <v>4</v>
      </c>
      <c r="Q424" t="str">
        <f t="shared" si="27"/>
        <v>Adult</v>
      </c>
    </row>
    <row r="425" spans="1:17" x14ac:dyDescent="0.3">
      <c r="A425" t="s">
        <v>1152</v>
      </c>
      <c r="B425">
        <v>2025</v>
      </c>
      <c r="C425" s="5" t="s">
        <v>434</v>
      </c>
      <c r="D425" t="s">
        <v>39</v>
      </c>
      <c r="E425" s="4">
        <v>7.8</v>
      </c>
      <c r="F425" t="str">
        <f t="shared" si="24"/>
        <v>Watch</v>
      </c>
      <c r="G425" t="str">
        <f t="shared" si="25"/>
        <v>Good</v>
      </c>
      <c r="H425" t="str" cm="1">
        <f t="array" ref="H425">_xlfn.IFS(E425&gt;8,"Best",E425=7,"Good",E425&gt;7,"Good",E425&lt;7,"Avg",E425&lt;6,"Below Avg")</f>
        <v>Good</v>
      </c>
      <c r="I425">
        <v>123</v>
      </c>
      <c r="K425" s="3">
        <v>26859114</v>
      </c>
      <c r="L425" s="3">
        <v>20906076</v>
      </c>
      <c r="M425" s="3">
        <f t="shared" si="26"/>
        <v>5953038</v>
      </c>
      <c r="O425" t="s">
        <v>1153</v>
      </c>
      <c r="P425" t="s">
        <v>11</v>
      </c>
      <c r="Q425" t="str">
        <f t="shared" si="27"/>
        <v>Kid</v>
      </c>
    </row>
    <row r="426" spans="1:17" x14ac:dyDescent="0.3">
      <c r="A426" t="s">
        <v>1154</v>
      </c>
      <c r="B426">
        <v>2025</v>
      </c>
      <c r="C426" s="5" t="s">
        <v>434</v>
      </c>
      <c r="D426" t="s">
        <v>27</v>
      </c>
      <c r="E426" s="4">
        <v>8.4</v>
      </c>
      <c r="F426" t="str">
        <f t="shared" si="24"/>
        <v>Watch</v>
      </c>
      <c r="G426" t="str">
        <f t="shared" si="25"/>
        <v>Good</v>
      </c>
      <c r="H426" t="str" cm="1">
        <f t="array" ref="H426">_xlfn.IFS(E426&gt;8,"Best",E426=7,"Good",E426&gt;7,"Good",E426&lt;7,"Avg",E426&lt;6,"Below Avg")</f>
        <v>Best</v>
      </c>
      <c r="I426">
        <v>153</v>
      </c>
      <c r="K426" s="3">
        <v>29958804</v>
      </c>
      <c r="L426" s="3">
        <v>22972536</v>
      </c>
      <c r="M426" s="3">
        <f t="shared" si="26"/>
        <v>6986268</v>
      </c>
      <c r="N426" t="s">
        <v>1155</v>
      </c>
      <c r="O426" t="s">
        <v>1156</v>
      </c>
      <c r="P426" t="s">
        <v>11</v>
      </c>
      <c r="Q426" t="str">
        <f t="shared" si="27"/>
        <v>Kid</v>
      </c>
    </row>
    <row r="427" spans="1:17" x14ac:dyDescent="0.3">
      <c r="A427" t="s">
        <v>1068</v>
      </c>
      <c r="B427">
        <v>2025</v>
      </c>
      <c r="C427" s="5" t="s">
        <v>387</v>
      </c>
      <c r="D427" t="s">
        <v>27</v>
      </c>
      <c r="E427" s="4">
        <v>8.6999999999999993</v>
      </c>
      <c r="F427" t="str">
        <f t="shared" si="24"/>
        <v>Watch</v>
      </c>
      <c r="G427" t="str">
        <f t="shared" si="25"/>
        <v>Best</v>
      </c>
      <c r="H427" t="str" cm="1">
        <f t="array" ref="H427">_xlfn.IFS(E427&gt;8,"Best",E427=7,"Good",E427&gt;7,"Good",E427&lt;7,"Avg",E427&lt;6,"Below Avg")</f>
        <v>Best</v>
      </c>
      <c r="I427">
        <v>96</v>
      </c>
      <c r="K427" s="3">
        <v>27769023</v>
      </c>
      <c r="L427" s="3">
        <v>21512682</v>
      </c>
      <c r="M427" s="3">
        <f t="shared" si="26"/>
        <v>6256341</v>
      </c>
      <c r="N427" t="s">
        <v>1069</v>
      </c>
      <c r="O427" t="s">
        <v>1070</v>
      </c>
      <c r="P427" t="s">
        <v>11</v>
      </c>
      <c r="Q427" t="str">
        <f t="shared" si="27"/>
        <v>Kid</v>
      </c>
    </row>
    <row r="428" spans="1:17" x14ac:dyDescent="0.3">
      <c r="A428" t="s">
        <v>1089</v>
      </c>
      <c r="B428">
        <v>2025</v>
      </c>
      <c r="C428" s="5" t="s">
        <v>387</v>
      </c>
      <c r="D428" t="s">
        <v>93</v>
      </c>
      <c r="E428" s="4">
        <v>6.9</v>
      </c>
      <c r="F428" t="str">
        <f t="shared" si="24"/>
        <v>Watch</v>
      </c>
      <c r="G428" t="str">
        <f t="shared" si="25"/>
        <v>Avg</v>
      </c>
      <c r="H428" t="str" cm="1">
        <f t="array" ref="H428">_xlfn.IFS(E428&gt;8,"Best",E428=7,"Good",E428&gt;7,"Good",E428&lt;7,"Avg",E428&lt;6,"Below Avg")</f>
        <v>Avg</v>
      </c>
      <c r="I428">
        <v>108</v>
      </c>
      <c r="K428" s="3">
        <v>26059194</v>
      </c>
      <c r="L428" s="3">
        <v>20372796</v>
      </c>
      <c r="M428" s="3">
        <f t="shared" si="26"/>
        <v>5686398</v>
      </c>
      <c r="N428" t="s">
        <v>1090</v>
      </c>
      <c r="O428" t="s">
        <v>402</v>
      </c>
      <c r="P428" t="s">
        <v>11</v>
      </c>
      <c r="Q428" t="str">
        <f t="shared" si="27"/>
        <v>Kid</v>
      </c>
    </row>
    <row r="429" spans="1:17" x14ac:dyDescent="0.3">
      <c r="A429" t="s">
        <v>1107</v>
      </c>
      <c r="B429">
        <v>2025</v>
      </c>
      <c r="C429" s="5" t="s">
        <v>387</v>
      </c>
      <c r="D429" t="s">
        <v>27</v>
      </c>
      <c r="E429" s="4">
        <v>9.1999999999999993</v>
      </c>
      <c r="F429" t="str">
        <f t="shared" si="24"/>
        <v>Watch</v>
      </c>
      <c r="G429" t="str">
        <f t="shared" si="25"/>
        <v>Best</v>
      </c>
      <c r="H429" t="str" cm="1">
        <f t="array" ref="H429">_xlfn.IFS(E429&gt;8,"Best",E429=7,"Good",E429&gt;7,"Good",E429&lt;7,"Avg",E429&lt;6,"Below Avg")</f>
        <v>Best</v>
      </c>
      <c r="I429">
        <v>134</v>
      </c>
      <c r="K429" s="3">
        <v>476467680</v>
      </c>
      <c r="L429" s="3">
        <v>159264224</v>
      </c>
      <c r="M429" s="3">
        <f t="shared" si="26"/>
        <v>317203456</v>
      </c>
      <c r="N429" t="s">
        <v>1108</v>
      </c>
      <c r="O429" t="s">
        <v>1109</v>
      </c>
      <c r="P429" t="s">
        <v>11</v>
      </c>
      <c r="Q429" t="str">
        <f t="shared" si="27"/>
        <v>Kid</v>
      </c>
    </row>
    <row r="430" spans="1:17" x14ac:dyDescent="0.3">
      <c r="A430" t="s">
        <v>1071</v>
      </c>
      <c r="B430">
        <v>2025</v>
      </c>
      <c r="C430" s="5" t="s">
        <v>387</v>
      </c>
      <c r="D430" t="s">
        <v>8</v>
      </c>
      <c r="E430" s="4">
        <v>6.8</v>
      </c>
      <c r="F430" t="str">
        <f t="shared" si="24"/>
        <v>Watch</v>
      </c>
      <c r="G430" t="str">
        <f t="shared" si="25"/>
        <v>Avg</v>
      </c>
      <c r="H430" t="str" cm="1">
        <f t="array" ref="H430">_xlfn.IFS(E430&gt;8,"Best",E430=7,"Good",E430&gt;7,"Good",E430&lt;7,"Avg",E430&lt;6,"Below Avg")</f>
        <v>Avg</v>
      </c>
      <c r="I430">
        <v>152</v>
      </c>
      <c r="K430" s="3">
        <v>33205146</v>
      </c>
      <c r="L430" s="3">
        <v>25136764</v>
      </c>
      <c r="M430" s="3">
        <f t="shared" si="26"/>
        <v>8068382</v>
      </c>
      <c r="N430" t="s">
        <v>1072</v>
      </c>
      <c r="O430" t="s">
        <v>1073</v>
      </c>
      <c r="P430" t="s">
        <v>11</v>
      </c>
      <c r="Q430" t="str">
        <f t="shared" si="27"/>
        <v>Kid</v>
      </c>
    </row>
    <row r="431" spans="1:17" x14ac:dyDescent="0.3">
      <c r="A431" t="s">
        <v>1074</v>
      </c>
      <c r="B431">
        <v>2025</v>
      </c>
      <c r="C431" s="5" t="s">
        <v>387</v>
      </c>
      <c r="D431" t="s">
        <v>39</v>
      </c>
      <c r="E431" s="4">
        <v>8.5</v>
      </c>
      <c r="F431" t="str">
        <f t="shared" si="24"/>
        <v>Watch</v>
      </c>
      <c r="G431" t="str">
        <f t="shared" si="25"/>
        <v>Good</v>
      </c>
      <c r="H431" t="str" cm="1">
        <f t="array" ref="H431">_xlfn.IFS(E431&gt;8,"Best",E431=7,"Good",E431&gt;7,"Good",E431&lt;7,"Avg",E431&lt;6,"Below Avg")</f>
        <v>Best</v>
      </c>
      <c r="I431">
        <v>151</v>
      </c>
      <c r="K431" s="3">
        <v>28202313</v>
      </c>
      <c r="L431" s="3">
        <v>21801542</v>
      </c>
      <c r="M431" s="3">
        <f t="shared" si="26"/>
        <v>6400771</v>
      </c>
      <c r="N431" t="s">
        <v>1075</v>
      </c>
      <c r="O431" t="s">
        <v>1076</v>
      </c>
      <c r="P431" t="s">
        <v>11</v>
      </c>
      <c r="Q431" t="str">
        <f t="shared" si="27"/>
        <v>Kid</v>
      </c>
    </row>
    <row r="432" spans="1:17" x14ac:dyDescent="0.3">
      <c r="A432" t="s">
        <v>1077</v>
      </c>
      <c r="B432">
        <v>2025</v>
      </c>
      <c r="C432" s="5" t="s">
        <v>387</v>
      </c>
      <c r="D432" t="s">
        <v>8</v>
      </c>
      <c r="E432" s="4">
        <v>6.1</v>
      </c>
      <c r="F432" t="str">
        <f t="shared" si="24"/>
        <v>Don't Watch</v>
      </c>
      <c r="G432" t="str">
        <f t="shared" si="25"/>
        <v>Avg</v>
      </c>
      <c r="H432" t="str" cm="1">
        <f t="array" ref="H432">_xlfn.IFS(E432&gt;8,"Best",E432=7,"Good",E432&gt;7,"Good",E432&lt;7,"Avg",E432&lt;6,"Below Avg")</f>
        <v>Avg</v>
      </c>
      <c r="I432">
        <v>136</v>
      </c>
      <c r="K432" s="3">
        <v>27902343</v>
      </c>
      <c r="L432" s="3">
        <v>21601562</v>
      </c>
      <c r="M432" s="3">
        <f t="shared" si="26"/>
        <v>6300781</v>
      </c>
      <c r="O432" t="s">
        <v>380</v>
      </c>
      <c r="P432" t="s">
        <v>11</v>
      </c>
      <c r="Q432" t="str">
        <f t="shared" si="27"/>
        <v>Kid</v>
      </c>
    </row>
    <row r="433" spans="1:17" x14ac:dyDescent="0.3">
      <c r="A433" t="s">
        <v>1078</v>
      </c>
      <c r="B433">
        <v>2025</v>
      </c>
      <c r="C433" s="5" t="s">
        <v>387</v>
      </c>
      <c r="D433" t="s">
        <v>2</v>
      </c>
      <c r="E433" s="4">
        <v>6.6</v>
      </c>
      <c r="F433" t="str">
        <f t="shared" si="24"/>
        <v>Watch</v>
      </c>
      <c r="G433" t="str">
        <f t="shared" si="25"/>
        <v>Avg</v>
      </c>
      <c r="H433" t="str" cm="1">
        <f t="array" ref="H433">_xlfn.IFS(E433&gt;8,"Best",E433=7,"Good",E433&gt;7,"Good",E433&lt;7,"Avg",E433&lt;6,"Below Avg")</f>
        <v>Avg</v>
      </c>
      <c r="I433">
        <v>117</v>
      </c>
      <c r="K433" s="3">
        <v>45564610</v>
      </c>
      <c r="L433" s="3">
        <v>12568268</v>
      </c>
      <c r="M433" s="3">
        <f t="shared" si="26"/>
        <v>32996342</v>
      </c>
      <c r="N433" t="s">
        <v>1079</v>
      </c>
      <c r="O433" t="s">
        <v>1080</v>
      </c>
      <c r="P433" t="s">
        <v>4</v>
      </c>
      <c r="Q433" t="str">
        <f t="shared" si="27"/>
        <v>Adult</v>
      </c>
    </row>
    <row r="434" spans="1:17" x14ac:dyDescent="0.3">
      <c r="A434" t="s">
        <v>1081</v>
      </c>
      <c r="B434">
        <v>2025</v>
      </c>
      <c r="C434" s="5" t="s">
        <v>387</v>
      </c>
      <c r="D434" t="s">
        <v>8</v>
      </c>
      <c r="E434" s="4">
        <v>6.5</v>
      </c>
      <c r="F434" t="str">
        <f t="shared" si="24"/>
        <v>Don't Watch</v>
      </c>
      <c r="G434" t="str">
        <f t="shared" si="25"/>
        <v>Avg</v>
      </c>
      <c r="H434" t="str" cm="1">
        <f t="array" ref="H434">_xlfn.IFS(E434&gt;8,"Best",E434=7,"Good",E434&gt;7,"Good",E434&lt;7,"Avg",E434&lt;6,"Below Avg")</f>
        <v>Avg</v>
      </c>
      <c r="I434">
        <v>152</v>
      </c>
      <c r="K434" s="3">
        <v>26705796</v>
      </c>
      <c r="L434" s="3">
        <v>20803864</v>
      </c>
      <c r="M434" s="3">
        <f t="shared" si="26"/>
        <v>5901932</v>
      </c>
      <c r="N434" t="s">
        <v>1082</v>
      </c>
      <c r="O434" t="s">
        <v>59</v>
      </c>
      <c r="P434" t="s">
        <v>11</v>
      </c>
      <c r="Q434" t="str">
        <f t="shared" si="27"/>
        <v>Kid</v>
      </c>
    </row>
    <row r="435" spans="1:17" x14ac:dyDescent="0.3">
      <c r="A435" t="s">
        <v>1083</v>
      </c>
      <c r="B435">
        <v>2025</v>
      </c>
      <c r="C435" s="5" t="s">
        <v>387</v>
      </c>
      <c r="D435" t="s">
        <v>27</v>
      </c>
      <c r="E435" s="4">
        <v>7</v>
      </c>
      <c r="F435" t="str">
        <f t="shared" si="24"/>
        <v>Watch</v>
      </c>
      <c r="G435" t="str">
        <f t="shared" si="25"/>
        <v>Avg</v>
      </c>
      <c r="H435" t="str" cm="1">
        <f t="array" ref="H435">_xlfn.IFS(E435&gt;8,"Best",E435=7,"Good",E435&gt;7,"Good",E435&lt;7,"Avg",E435&lt;6,"Below Avg")</f>
        <v>Good</v>
      </c>
      <c r="I435">
        <v>112</v>
      </c>
      <c r="K435" s="3">
        <v>30572076</v>
      </c>
      <c r="L435" s="3">
        <v>23381384</v>
      </c>
      <c r="M435" s="3">
        <f t="shared" si="26"/>
        <v>7190692</v>
      </c>
      <c r="N435" t="s">
        <v>1084</v>
      </c>
      <c r="O435" t="s">
        <v>1085</v>
      </c>
      <c r="P435" t="s">
        <v>11</v>
      </c>
      <c r="Q435" t="str">
        <f t="shared" si="27"/>
        <v>Kid</v>
      </c>
    </row>
    <row r="436" spans="1:17" x14ac:dyDescent="0.3">
      <c r="A436" t="s">
        <v>1086</v>
      </c>
      <c r="B436">
        <v>2025</v>
      </c>
      <c r="C436" s="5" t="s">
        <v>387</v>
      </c>
      <c r="D436" t="s">
        <v>8</v>
      </c>
      <c r="E436" s="4">
        <v>8.6</v>
      </c>
      <c r="F436" t="str">
        <f t="shared" si="24"/>
        <v>Watch</v>
      </c>
      <c r="G436" t="str">
        <f t="shared" si="25"/>
        <v>Best</v>
      </c>
      <c r="H436" t="str" cm="1">
        <f t="array" ref="H436">_xlfn.IFS(E436&gt;8,"Best",E436=7,"Good",E436&gt;7,"Good",E436&lt;7,"Avg",E436&lt;6,"Below Avg")</f>
        <v>Best</v>
      </c>
      <c r="I436">
        <v>98</v>
      </c>
      <c r="K436" s="3">
        <v>26775789</v>
      </c>
      <c r="L436" s="3">
        <v>20850526</v>
      </c>
      <c r="M436" s="3">
        <f t="shared" si="26"/>
        <v>5925263</v>
      </c>
      <c r="N436" t="s">
        <v>1087</v>
      </c>
      <c r="O436" t="s">
        <v>1088</v>
      </c>
      <c r="P436" t="s">
        <v>11</v>
      </c>
      <c r="Q436" t="str">
        <f t="shared" si="27"/>
        <v>Kid</v>
      </c>
    </row>
    <row r="437" spans="1:17" x14ac:dyDescent="0.3">
      <c r="A437" t="s">
        <v>1091</v>
      </c>
      <c r="B437">
        <v>2025</v>
      </c>
      <c r="C437" s="5" t="s">
        <v>387</v>
      </c>
      <c r="D437" t="s">
        <v>39</v>
      </c>
      <c r="E437" s="4">
        <v>7.4</v>
      </c>
      <c r="F437" t="str">
        <f t="shared" si="24"/>
        <v>Watch</v>
      </c>
      <c r="G437" t="str">
        <f t="shared" si="25"/>
        <v>Good</v>
      </c>
      <c r="H437" t="str" cm="1">
        <f t="array" ref="H437">_xlfn.IFS(E437&gt;8,"Best",E437=7,"Good",E437&gt;7,"Good",E437&lt;7,"Avg",E437&lt;6,"Below Avg")</f>
        <v>Good</v>
      </c>
      <c r="I437">
        <v>155</v>
      </c>
      <c r="K437" s="3">
        <v>28715595</v>
      </c>
      <c r="L437" s="3">
        <v>22143730</v>
      </c>
      <c r="M437" s="3">
        <f t="shared" si="26"/>
        <v>6571865</v>
      </c>
      <c r="N437" t="s">
        <v>1092</v>
      </c>
      <c r="O437" t="s">
        <v>1093</v>
      </c>
      <c r="P437" t="s">
        <v>11</v>
      </c>
      <c r="Q437" t="str">
        <f t="shared" si="27"/>
        <v>Kid</v>
      </c>
    </row>
    <row r="438" spans="1:17" x14ac:dyDescent="0.3">
      <c r="A438" t="s">
        <v>1094</v>
      </c>
      <c r="B438">
        <v>2025</v>
      </c>
      <c r="C438" s="5" t="s">
        <v>387</v>
      </c>
      <c r="D438" t="s">
        <v>93</v>
      </c>
      <c r="E438" s="4">
        <v>7.5</v>
      </c>
      <c r="F438" t="str">
        <f t="shared" si="24"/>
        <v>Watch</v>
      </c>
      <c r="G438" t="str">
        <f t="shared" si="25"/>
        <v>Good</v>
      </c>
      <c r="H438" t="str" cm="1">
        <f t="array" ref="H438">_xlfn.IFS(E438&gt;8,"Best",E438=7,"Good",E438&gt;7,"Good",E438&lt;7,"Avg",E438&lt;6,"Below Avg")</f>
        <v>Good</v>
      </c>
      <c r="I438">
        <v>126</v>
      </c>
      <c r="K438" s="3">
        <v>30368763</v>
      </c>
      <c r="L438" s="3">
        <v>23245842</v>
      </c>
      <c r="M438" s="3">
        <f t="shared" si="26"/>
        <v>7122921</v>
      </c>
      <c r="O438" t="s">
        <v>1095</v>
      </c>
      <c r="P438" t="s">
        <v>11</v>
      </c>
      <c r="Q438" t="str">
        <f t="shared" si="27"/>
        <v>Kid</v>
      </c>
    </row>
    <row r="439" spans="1:17" x14ac:dyDescent="0.3">
      <c r="A439" t="s">
        <v>1096</v>
      </c>
      <c r="B439">
        <v>2025</v>
      </c>
      <c r="C439" s="5" t="s">
        <v>387</v>
      </c>
      <c r="D439" t="s">
        <v>8</v>
      </c>
      <c r="E439" s="4">
        <v>6.9</v>
      </c>
      <c r="F439" t="str">
        <f t="shared" si="24"/>
        <v>Watch</v>
      </c>
      <c r="G439" t="str">
        <f t="shared" si="25"/>
        <v>Avg</v>
      </c>
      <c r="H439" t="str" cm="1">
        <f t="array" ref="H439">_xlfn.IFS(E439&gt;8,"Best",E439=7,"Good",E439&gt;7,"Good",E439&lt;7,"Avg",E439&lt;6,"Below Avg")</f>
        <v>Avg</v>
      </c>
      <c r="I439">
        <v>126</v>
      </c>
      <c r="K439" s="3">
        <v>33868413</v>
      </c>
      <c r="L439" s="3">
        <v>25578942</v>
      </c>
      <c r="M439" s="3">
        <f t="shared" si="26"/>
        <v>8289471</v>
      </c>
      <c r="N439" t="s">
        <v>1097</v>
      </c>
      <c r="O439" t="s">
        <v>1098</v>
      </c>
      <c r="P439" t="s">
        <v>11</v>
      </c>
      <c r="Q439" t="str">
        <f t="shared" si="27"/>
        <v>Kid</v>
      </c>
    </row>
    <row r="440" spans="1:17" x14ac:dyDescent="0.3">
      <c r="A440" t="s">
        <v>1099</v>
      </c>
      <c r="B440">
        <v>2025</v>
      </c>
      <c r="C440" s="5" t="s">
        <v>387</v>
      </c>
      <c r="D440" t="s">
        <v>8</v>
      </c>
      <c r="E440" s="4">
        <v>8.1999999999999993</v>
      </c>
      <c r="F440" t="str">
        <f t="shared" si="24"/>
        <v>Watch</v>
      </c>
      <c r="G440" t="str">
        <f t="shared" si="25"/>
        <v>Good</v>
      </c>
      <c r="H440" t="str" cm="1">
        <f t="array" ref="H440">_xlfn.IFS(E440&gt;8,"Best",E440=7,"Good",E440&gt;7,"Good",E440&lt;7,"Avg",E440&lt;6,"Below Avg")</f>
        <v>Best</v>
      </c>
      <c r="I440">
        <v>91</v>
      </c>
      <c r="K440" s="3">
        <v>27752358</v>
      </c>
      <c r="L440" s="3">
        <v>21501572</v>
      </c>
      <c r="M440" s="3">
        <f t="shared" si="26"/>
        <v>6250786</v>
      </c>
      <c r="N440" t="s">
        <v>894</v>
      </c>
      <c r="O440" t="s">
        <v>1100</v>
      </c>
      <c r="P440" t="s">
        <v>11</v>
      </c>
      <c r="Q440" t="str">
        <f t="shared" si="27"/>
        <v>Kid</v>
      </c>
    </row>
    <row r="441" spans="1:17" x14ac:dyDescent="0.3">
      <c r="A441" t="s">
        <v>1101</v>
      </c>
      <c r="B441">
        <v>2025</v>
      </c>
      <c r="C441" s="5" t="s">
        <v>387</v>
      </c>
      <c r="D441" t="s">
        <v>8</v>
      </c>
      <c r="E441" s="4">
        <v>6.3</v>
      </c>
      <c r="F441" t="str">
        <f t="shared" si="24"/>
        <v>Don't Watch</v>
      </c>
      <c r="G441" t="str">
        <f t="shared" si="25"/>
        <v>Avg</v>
      </c>
      <c r="H441" t="str" cm="1">
        <f t="array" ref="H441">_xlfn.IFS(E441&gt;8,"Best",E441=7,"Good",E441&gt;7,"Good",E441&lt;7,"Avg",E441&lt;6,"Below Avg")</f>
        <v>Avg</v>
      </c>
      <c r="I441">
        <v>102</v>
      </c>
      <c r="K441" s="3">
        <v>28788921</v>
      </c>
      <c r="L441" s="3">
        <v>22192614</v>
      </c>
      <c r="M441" s="3">
        <f t="shared" si="26"/>
        <v>6596307</v>
      </c>
      <c r="N441" t="s">
        <v>1102</v>
      </c>
      <c r="O441" t="s">
        <v>818</v>
      </c>
      <c r="P441" t="s">
        <v>11</v>
      </c>
      <c r="Q441" t="str">
        <f t="shared" si="27"/>
        <v>Kid</v>
      </c>
    </row>
    <row r="442" spans="1:17" x14ac:dyDescent="0.3">
      <c r="A442" t="s">
        <v>1103</v>
      </c>
      <c r="B442">
        <v>2025</v>
      </c>
      <c r="C442" s="5" t="s">
        <v>387</v>
      </c>
      <c r="D442" t="s">
        <v>8</v>
      </c>
      <c r="E442" s="4">
        <v>6.5</v>
      </c>
      <c r="F442" t="str">
        <f t="shared" si="24"/>
        <v>Don't Watch</v>
      </c>
      <c r="G442" t="str">
        <f t="shared" si="25"/>
        <v>Avg</v>
      </c>
      <c r="H442" t="str" cm="1">
        <f t="array" ref="H442">_xlfn.IFS(E442&gt;8,"Best",E442=7,"Good",E442&gt;7,"Good",E442&lt;7,"Avg",E442&lt;6,"Below Avg")</f>
        <v>Avg</v>
      </c>
      <c r="I442">
        <v>101</v>
      </c>
      <c r="K442" s="3">
        <v>29785488</v>
      </c>
      <c r="L442" s="3">
        <v>22856992</v>
      </c>
      <c r="M442" s="3">
        <f t="shared" si="26"/>
        <v>6928496</v>
      </c>
      <c r="N442" t="s">
        <v>1104</v>
      </c>
      <c r="O442" t="s">
        <v>14</v>
      </c>
      <c r="P442" t="s">
        <v>11</v>
      </c>
      <c r="Q442" t="str">
        <f t="shared" si="27"/>
        <v>Kid</v>
      </c>
    </row>
    <row r="443" spans="1:17" x14ac:dyDescent="0.3">
      <c r="A443" t="s">
        <v>1105</v>
      </c>
      <c r="B443">
        <v>2025</v>
      </c>
      <c r="C443" s="5" t="s">
        <v>387</v>
      </c>
      <c r="D443" t="s">
        <v>127</v>
      </c>
      <c r="E443" s="4">
        <v>7</v>
      </c>
      <c r="F443" t="str">
        <f t="shared" si="24"/>
        <v>Watch</v>
      </c>
      <c r="G443" t="str">
        <f t="shared" si="25"/>
        <v>Avg</v>
      </c>
      <c r="H443" t="str" cm="1">
        <f t="array" ref="H443">_xlfn.IFS(E443&gt;8,"Best",E443=7,"Good",E443&gt;7,"Good",E443&lt;7,"Avg",E443&lt;6,"Below Avg")</f>
        <v>Good</v>
      </c>
      <c r="I443">
        <v>94</v>
      </c>
      <c r="K443" s="3">
        <v>28262307</v>
      </c>
      <c r="L443" s="3">
        <v>21841538</v>
      </c>
      <c r="M443" s="3">
        <f t="shared" si="26"/>
        <v>6420769</v>
      </c>
      <c r="N443" t="s">
        <v>1106</v>
      </c>
      <c r="O443" t="s">
        <v>726</v>
      </c>
      <c r="P443" t="s">
        <v>11</v>
      </c>
      <c r="Q443" t="str">
        <f t="shared" si="27"/>
        <v>Kid</v>
      </c>
    </row>
    <row r="444" spans="1:17" x14ac:dyDescent="0.3">
      <c r="A444" t="s">
        <v>1110</v>
      </c>
      <c r="B444">
        <v>2025</v>
      </c>
      <c r="C444" s="5" t="s">
        <v>387</v>
      </c>
      <c r="D444" t="s">
        <v>39</v>
      </c>
      <c r="E444" s="4">
        <v>7.4</v>
      </c>
      <c r="F444" t="str">
        <f t="shared" si="24"/>
        <v>Watch</v>
      </c>
      <c r="G444" t="str">
        <f t="shared" si="25"/>
        <v>Good</v>
      </c>
      <c r="H444" t="str" cm="1">
        <f t="array" ref="H444">_xlfn.IFS(E444&gt;8,"Best",E444=7,"Good",E444&gt;7,"Good",E444&lt;7,"Avg",E444&lt;6,"Below Avg")</f>
        <v>Good</v>
      </c>
      <c r="I444">
        <v>98</v>
      </c>
      <c r="K444" s="3">
        <v>28275639</v>
      </c>
      <c r="L444" s="3">
        <v>21850426</v>
      </c>
      <c r="M444" s="3">
        <f t="shared" si="26"/>
        <v>6425213</v>
      </c>
      <c r="N444" t="s">
        <v>1111</v>
      </c>
      <c r="O444" t="s">
        <v>336</v>
      </c>
      <c r="P444" t="s">
        <v>11</v>
      </c>
      <c r="Q444" t="str">
        <f t="shared" si="27"/>
        <v>Kid</v>
      </c>
    </row>
    <row r="445" spans="1:17" x14ac:dyDescent="0.3">
      <c r="A445" t="s">
        <v>1112</v>
      </c>
      <c r="B445">
        <v>2025</v>
      </c>
      <c r="C445" s="5" t="s">
        <v>387</v>
      </c>
      <c r="D445" t="s">
        <v>8</v>
      </c>
      <c r="E445" s="4">
        <v>8.1999999999999993</v>
      </c>
      <c r="F445" t="str">
        <f t="shared" si="24"/>
        <v>Watch</v>
      </c>
      <c r="G445" t="str">
        <f t="shared" si="25"/>
        <v>Good</v>
      </c>
      <c r="H445" t="str" cm="1">
        <f t="array" ref="H445">_xlfn.IFS(E445&gt;8,"Best",E445=7,"Good",E445&gt;7,"Good",E445&lt;7,"Avg",E445&lt;6,"Below Avg")</f>
        <v>Best</v>
      </c>
      <c r="I445">
        <v>151</v>
      </c>
      <c r="K445" s="3">
        <v>27202413</v>
      </c>
      <c r="L445" s="3">
        <v>21134942</v>
      </c>
      <c r="M445" s="3">
        <f t="shared" si="26"/>
        <v>6067471</v>
      </c>
      <c r="N445" t="s">
        <v>1113</v>
      </c>
      <c r="O445" t="s">
        <v>1114</v>
      </c>
      <c r="P445" t="s">
        <v>11</v>
      </c>
      <c r="Q445" t="str">
        <f t="shared" si="27"/>
        <v>Kid</v>
      </c>
    </row>
    <row r="446" spans="1:17" x14ac:dyDescent="0.3">
      <c r="A446" t="s">
        <v>1115</v>
      </c>
      <c r="B446">
        <v>2025</v>
      </c>
      <c r="C446" s="5" t="s">
        <v>387</v>
      </c>
      <c r="D446" t="s">
        <v>19</v>
      </c>
      <c r="E446" s="4">
        <v>7.5</v>
      </c>
      <c r="F446" t="str">
        <f t="shared" si="24"/>
        <v>Watch</v>
      </c>
      <c r="G446" t="str">
        <f t="shared" si="25"/>
        <v>Good</v>
      </c>
      <c r="H446" t="str" cm="1">
        <f t="array" ref="H446">_xlfn.IFS(E446&gt;8,"Best",E446=7,"Good",E446&gt;7,"Good",E446&lt;7,"Avg",E446&lt;6,"Below Avg")</f>
        <v>Good</v>
      </c>
      <c r="I446">
        <v>141</v>
      </c>
      <c r="K446" s="3">
        <v>33668433</v>
      </c>
      <c r="L446" s="3">
        <v>25445622</v>
      </c>
      <c r="M446" s="3">
        <f t="shared" si="26"/>
        <v>8222811</v>
      </c>
      <c r="N446" t="s">
        <v>1116</v>
      </c>
      <c r="O446" t="s">
        <v>484</v>
      </c>
      <c r="P446" t="s">
        <v>11</v>
      </c>
      <c r="Q446" t="str">
        <f t="shared" si="27"/>
        <v>Kid</v>
      </c>
    </row>
    <row r="447" spans="1:17" x14ac:dyDescent="0.3">
      <c r="A447" t="s">
        <v>971</v>
      </c>
      <c r="B447">
        <v>2025</v>
      </c>
      <c r="C447" s="5" t="s">
        <v>163</v>
      </c>
      <c r="D447" t="s">
        <v>31</v>
      </c>
      <c r="E447" s="4">
        <v>6.7</v>
      </c>
      <c r="F447" t="str">
        <f t="shared" si="24"/>
        <v>Watch</v>
      </c>
      <c r="G447" t="str">
        <f t="shared" si="25"/>
        <v>Avg</v>
      </c>
      <c r="H447" t="str" cm="1">
        <f t="array" ref="H447">_xlfn.IFS(E447&gt;8,"Best",E447=7,"Good",E447&gt;7,"Good",E447&lt;7,"Avg",E447&lt;6,"Below Avg")</f>
        <v>Avg</v>
      </c>
      <c r="I447">
        <v>94</v>
      </c>
      <c r="K447" s="3">
        <v>27262407</v>
      </c>
      <c r="L447" s="3">
        <v>21174938</v>
      </c>
      <c r="M447" s="3">
        <f t="shared" si="26"/>
        <v>6087469</v>
      </c>
      <c r="O447" t="s">
        <v>972</v>
      </c>
      <c r="P447" t="s">
        <v>11</v>
      </c>
      <c r="Q447" t="str">
        <f t="shared" si="27"/>
        <v>Kid</v>
      </c>
    </row>
    <row r="448" spans="1:17" x14ac:dyDescent="0.3">
      <c r="A448" t="s">
        <v>925</v>
      </c>
      <c r="B448">
        <v>2025</v>
      </c>
      <c r="C448" s="5" t="s">
        <v>163</v>
      </c>
      <c r="D448" t="s">
        <v>27</v>
      </c>
      <c r="E448" s="4">
        <v>7.5</v>
      </c>
      <c r="F448" t="str">
        <f t="shared" si="24"/>
        <v>Watch</v>
      </c>
      <c r="G448" t="str">
        <f t="shared" si="25"/>
        <v>Good</v>
      </c>
      <c r="H448" t="str" cm="1">
        <f t="array" ref="H448">_xlfn.IFS(E448&gt;8,"Best",E448=7,"Good",E448&gt;7,"Good",E448&lt;7,"Avg",E448&lt;6,"Below Avg")</f>
        <v>Good</v>
      </c>
      <c r="I448">
        <v>147</v>
      </c>
      <c r="K448" s="3">
        <v>28938906</v>
      </c>
      <c r="L448" s="3">
        <v>22292604</v>
      </c>
      <c r="M448" s="3">
        <f t="shared" si="26"/>
        <v>6646302</v>
      </c>
      <c r="N448" t="s">
        <v>926</v>
      </c>
      <c r="O448" t="s">
        <v>762</v>
      </c>
      <c r="P448" t="s">
        <v>11</v>
      </c>
      <c r="Q448" t="str">
        <f t="shared" si="27"/>
        <v>Kid</v>
      </c>
    </row>
    <row r="449" spans="1:17" x14ac:dyDescent="0.3">
      <c r="A449" t="s">
        <v>927</v>
      </c>
      <c r="B449">
        <v>2025</v>
      </c>
      <c r="C449" s="5" t="s">
        <v>163</v>
      </c>
      <c r="D449" t="s">
        <v>39</v>
      </c>
      <c r="E449" s="4">
        <v>8.8000000000000007</v>
      </c>
      <c r="F449" t="str">
        <f t="shared" si="24"/>
        <v>Watch</v>
      </c>
      <c r="G449" t="str">
        <f t="shared" si="25"/>
        <v>Best</v>
      </c>
      <c r="H449" t="str" cm="1">
        <f t="array" ref="H449">_xlfn.IFS(E449&gt;8,"Best",E449=7,"Good",E449&gt;7,"Good",E449&lt;7,"Avg",E449&lt;6,"Below Avg")</f>
        <v>Best</v>
      </c>
      <c r="I449">
        <v>115</v>
      </c>
      <c r="K449" s="3">
        <v>27332400</v>
      </c>
      <c r="L449" s="3">
        <v>21221600</v>
      </c>
      <c r="M449" s="3">
        <f t="shared" si="26"/>
        <v>6110800</v>
      </c>
      <c r="N449" t="s">
        <v>843</v>
      </c>
      <c r="O449" t="s">
        <v>104</v>
      </c>
      <c r="P449" t="s">
        <v>11</v>
      </c>
      <c r="Q449" t="str">
        <f t="shared" si="27"/>
        <v>Kid</v>
      </c>
    </row>
    <row r="450" spans="1:17" x14ac:dyDescent="0.3">
      <c r="A450" t="s">
        <v>936</v>
      </c>
      <c r="B450">
        <v>2025</v>
      </c>
      <c r="C450" s="5" t="s">
        <v>163</v>
      </c>
      <c r="D450" t="s">
        <v>93</v>
      </c>
      <c r="E450" s="4">
        <v>8.8000000000000007</v>
      </c>
      <c r="F450" t="str">
        <f t="shared" ref="F450:F513" si="28">IF(E450&gt;6.5,"Watch","Don't Watch")</f>
        <v>Watch</v>
      </c>
      <c r="G450" t="str">
        <f t="shared" ref="G450:G513" si="29">IF(E450&gt;8.5,"Best",IF(E450&gt;7,"Good",IF(E450&gt;5,"Avg",IF(E450&lt;5,"Below Avg",IF(E450&lt;3,"Bad",)))))</f>
        <v>Best</v>
      </c>
      <c r="H450" t="str" cm="1">
        <f t="array" ref="H450">_xlfn.IFS(E450&gt;8,"Best",E450=7,"Good",E450&gt;7,"Good",E450&lt;7,"Avg",E450&lt;6,"Below Avg")</f>
        <v>Best</v>
      </c>
      <c r="I450">
        <v>112</v>
      </c>
      <c r="K450" s="3">
        <v>33821751</v>
      </c>
      <c r="L450" s="3">
        <v>25547834</v>
      </c>
      <c r="M450" s="3">
        <f t="shared" ref="M450:M513" si="30" xml:space="preserve"> (K450-L450)</f>
        <v>8273917</v>
      </c>
      <c r="N450" t="s">
        <v>937</v>
      </c>
      <c r="O450" t="s">
        <v>938</v>
      </c>
      <c r="P450" t="s">
        <v>11</v>
      </c>
      <c r="Q450" t="str">
        <f t="shared" ref="Q450:Q513" si="31">IF(P450="R","Adult","Kid")</f>
        <v>Kid</v>
      </c>
    </row>
    <row r="451" spans="1:17" x14ac:dyDescent="0.3">
      <c r="A451" t="s">
        <v>939</v>
      </c>
      <c r="B451">
        <v>2025</v>
      </c>
      <c r="C451" s="5" t="s">
        <v>163</v>
      </c>
      <c r="D451" t="s">
        <v>93</v>
      </c>
      <c r="E451" s="4">
        <v>8.3000000000000007</v>
      </c>
      <c r="F451" t="str">
        <f t="shared" si="28"/>
        <v>Watch</v>
      </c>
      <c r="G451" t="str">
        <f t="shared" si="29"/>
        <v>Good</v>
      </c>
      <c r="H451" t="str" cm="1">
        <f t="array" ref="H451">_xlfn.IFS(E451&gt;8,"Best",E451=7,"Good",E451&gt;7,"Good",E451&lt;7,"Avg",E451&lt;6,"Below Avg")</f>
        <v>Best</v>
      </c>
      <c r="I451">
        <v>158</v>
      </c>
      <c r="K451" s="3">
        <v>27975669</v>
      </c>
      <c r="L451" s="3">
        <v>21650446</v>
      </c>
      <c r="M451" s="3">
        <f t="shared" si="30"/>
        <v>6325223</v>
      </c>
      <c r="N451" t="s">
        <v>940</v>
      </c>
      <c r="O451" t="s">
        <v>941</v>
      </c>
      <c r="P451" t="s">
        <v>11</v>
      </c>
      <c r="Q451" t="str">
        <f t="shared" si="31"/>
        <v>Kid</v>
      </c>
    </row>
    <row r="452" spans="1:17" x14ac:dyDescent="0.3">
      <c r="A452" t="s">
        <v>959</v>
      </c>
      <c r="B452">
        <v>2025</v>
      </c>
      <c r="C452" s="5" t="s">
        <v>163</v>
      </c>
      <c r="D452" t="s">
        <v>19</v>
      </c>
      <c r="E452" s="4">
        <v>8.5</v>
      </c>
      <c r="F452" t="str">
        <f t="shared" si="28"/>
        <v>Watch</v>
      </c>
      <c r="G452" t="str">
        <f t="shared" si="29"/>
        <v>Good</v>
      </c>
      <c r="H452" t="str" cm="1">
        <f t="array" ref="H452">_xlfn.IFS(E452&gt;8,"Best",E452=7,"Good",E452&gt;7,"Good",E452&lt;7,"Avg",E452&lt;6,"Below Avg")</f>
        <v>Best</v>
      </c>
      <c r="I452">
        <v>121</v>
      </c>
      <c r="K452" s="3">
        <v>27102423</v>
      </c>
      <c r="L452" s="3">
        <v>21068282</v>
      </c>
      <c r="M452" s="3">
        <f t="shared" si="30"/>
        <v>6034141</v>
      </c>
      <c r="N452" t="s">
        <v>960</v>
      </c>
      <c r="O452" t="s">
        <v>961</v>
      </c>
      <c r="P452" t="s">
        <v>11</v>
      </c>
      <c r="Q452" t="str">
        <f t="shared" si="31"/>
        <v>Kid</v>
      </c>
    </row>
    <row r="453" spans="1:17" x14ac:dyDescent="0.3">
      <c r="A453" t="s">
        <v>962</v>
      </c>
      <c r="B453">
        <v>2025</v>
      </c>
      <c r="C453" s="5" t="s">
        <v>163</v>
      </c>
      <c r="D453" t="s">
        <v>8</v>
      </c>
      <c r="E453" s="4">
        <v>6.7</v>
      </c>
      <c r="F453" t="str">
        <f t="shared" si="28"/>
        <v>Watch</v>
      </c>
      <c r="G453" t="str">
        <f t="shared" si="29"/>
        <v>Avg</v>
      </c>
      <c r="H453" t="str" cm="1">
        <f t="array" ref="H453">_xlfn.IFS(E453&gt;8,"Best",E453=7,"Good",E453&gt;7,"Good",E453&lt;7,"Avg",E453&lt;6,"Below Avg")</f>
        <v>Avg</v>
      </c>
      <c r="I453">
        <v>115</v>
      </c>
      <c r="K453" s="3">
        <v>28582275</v>
      </c>
      <c r="L453" s="3">
        <v>22054850</v>
      </c>
      <c r="M453" s="3">
        <f t="shared" si="30"/>
        <v>6527425</v>
      </c>
      <c r="O453" t="s">
        <v>963</v>
      </c>
      <c r="P453" t="s">
        <v>11</v>
      </c>
      <c r="Q453" t="str">
        <f t="shared" si="31"/>
        <v>Kid</v>
      </c>
    </row>
    <row r="454" spans="1:17" x14ac:dyDescent="0.3">
      <c r="A454" t="s">
        <v>912</v>
      </c>
      <c r="B454">
        <v>2025</v>
      </c>
      <c r="C454" s="5" t="s">
        <v>163</v>
      </c>
      <c r="D454" t="s">
        <v>8</v>
      </c>
      <c r="E454" s="4">
        <v>6.6</v>
      </c>
      <c r="F454" t="str">
        <f t="shared" si="28"/>
        <v>Watch</v>
      </c>
      <c r="G454" t="str">
        <f t="shared" si="29"/>
        <v>Avg</v>
      </c>
      <c r="H454" t="str" cm="1">
        <f t="array" ref="H454">_xlfn.IFS(E454&gt;8,"Best",E454=7,"Good",E454&gt;7,"Good",E454&lt;7,"Avg",E454&lt;6,"Below Avg")</f>
        <v>Avg</v>
      </c>
      <c r="I454">
        <v>117</v>
      </c>
      <c r="K454" s="3">
        <v>30338766</v>
      </c>
      <c r="L454" s="3">
        <v>23225844</v>
      </c>
      <c r="M454" s="3">
        <f t="shared" si="30"/>
        <v>7112922</v>
      </c>
      <c r="N454" t="s">
        <v>913</v>
      </c>
      <c r="O454" t="s">
        <v>914</v>
      </c>
      <c r="P454" t="s">
        <v>11</v>
      </c>
      <c r="Q454" t="str">
        <f t="shared" si="31"/>
        <v>Kid</v>
      </c>
    </row>
    <row r="455" spans="1:17" x14ac:dyDescent="0.3">
      <c r="A455" t="s">
        <v>915</v>
      </c>
      <c r="B455">
        <v>2025</v>
      </c>
      <c r="C455" s="5" t="s">
        <v>163</v>
      </c>
      <c r="D455" t="s">
        <v>8</v>
      </c>
      <c r="E455" s="4">
        <v>7</v>
      </c>
      <c r="F455" t="str">
        <f t="shared" si="28"/>
        <v>Watch</v>
      </c>
      <c r="G455" t="str">
        <f t="shared" si="29"/>
        <v>Avg</v>
      </c>
      <c r="H455" t="str" cm="1">
        <f t="array" ref="H455">_xlfn.IFS(E455&gt;8,"Best",E455=7,"Good",E455&gt;7,"Good",E455&lt;7,"Avg",E455&lt;6,"Below Avg")</f>
        <v>Good</v>
      </c>
      <c r="I455">
        <v>106</v>
      </c>
      <c r="K455" s="3">
        <v>29802153</v>
      </c>
      <c r="L455" s="3">
        <v>22868102</v>
      </c>
      <c r="M455" s="3">
        <f t="shared" si="30"/>
        <v>6934051</v>
      </c>
      <c r="O455" t="s">
        <v>916</v>
      </c>
      <c r="P455" t="s">
        <v>11</v>
      </c>
      <c r="Q455" t="str">
        <f t="shared" si="31"/>
        <v>Kid</v>
      </c>
    </row>
    <row r="456" spans="1:17" x14ac:dyDescent="0.3">
      <c r="A456" t="s">
        <v>917</v>
      </c>
      <c r="B456">
        <v>2025</v>
      </c>
      <c r="C456" s="5" t="s">
        <v>163</v>
      </c>
      <c r="D456" t="s">
        <v>61</v>
      </c>
      <c r="E456" s="4">
        <v>8.5</v>
      </c>
      <c r="F456" t="str">
        <f t="shared" si="28"/>
        <v>Watch</v>
      </c>
      <c r="G456" t="str">
        <f t="shared" si="29"/>
        <v>Good</v>
      </c>
      <c r="H456" t="str" cm="1">
        <f t="array" ref="H456">_xlfn.IFS(E456&gt;8,"Best",E456=7,"Good",E456&gt;7,"Good",E456&lt;7,"Avg",E456&lt;6,"Below Avg")</f>
        <v>Best</v>
      </c>
      <c r="I456">
        <v>127</v>
      </c>
      <c r="K456" s="3">
        <v>30622071</v>
      </c>
      <c r="L456" s="3">
        <v>23414714</v>
      </c>
      <c r="M456" s="3">
        <f t="shared" si="30"/>
        <v>7207357</v>
      </c>
      <c r="N456" t="s">
        <v>918</v>
      </c>
      <c r="O456" t="s">
        <v>919</v>
      </c>
      <c r="P456" t="s">
        <v>11</v>
      </c>
      <c r="Q456" t="str">
        <f t="shared" si="31"/>
        <v>Kid</v>
      </c>
    </row>
    <row r="457" spans="1:17" x14ac:dyDescent="0.3">
      <c r="A457" t="s">
        <v>920</v>
      </c>
      <c r="B457">
        <v>2025</v>
      </c>
      <c r="C457" s="5" t="s">
        <v>163</v>
      </c>
      <c r="D457" t="s">
        <v>35</v>
      </c>
      <c r="E457" s="4">
        <v>6.3</v>
      </c>
      <c r="F457" t="str">
        <f t="shared" si="28"/>
        <v>Don't Watch</v>
      </c>
      <c r="G457" t="str">
        <f t="shared" si="29"/>
        <v>Avg</v>
      </c>
      <c r="H457" t="str" cm="1">
        <f t="array" ref="H457">_xlfn.IFS(E457&gt;8,"Best",E457=7,"Good",E457&gt;7,"Good",E457&lt;7,"Avg",E457&lt;6,"Below Avg")</f>
        <v>Avg</v>
      </c>
      <c r="I457">
        <v>144</v>
      </c>
      <c r="K457" s="3">
        <v>28678932</v>
      </c>
      <c r="L457" s="3">
        <v>22119288</v>
      </c>
      <c r="M457" s="3">
        <f t="shared" si="30"/>
        <v>6559644</v>
      </c>
      <c r="N457" t="s">
        <v>921</v>
      </c>
      <c r="O457" t="s">
        <v>922</v>
      </c>
      <c r="P457" t="s">
        <v>11</v>
      </c>
      <c r="Q457" t="str">
        <f t="shared" si="31"/>
        <v>Kid</v>
      </c>
    </row>
    <row r="458" spans="1:17" x14ac:dyDescent="0.3">
      <c r="A458" t="s">
        <v>923</v>
      </c>
      <c r="B458">
        <v>2025</v>
      </c>
      <c r="C458" s="5" t="s">
        <v>163</v>
      </c>
      <c r="D458" t="s">
        <v>8</v>
      </c>
      <c r="E458" s="4">
        <v>6.3</v>
      </c>
      <c r="F458" t="str">
        <f t="shared" si="28"/>
        <v>Don't Watch</v>
      </c>
      <c r="G458" t="str">
        <f t="shared" si="29"/>
        <v>Avg</v>
      </c>
      <c r="H458" t="str" cm="1">
        <f t="array" ref="H458">_xlfn.IFS(E458&gt;8,"Best",E458=7,"Good",E458&gt;7,"Good",E458&lt;7,"Avg",E458&lt;6,"Below Avg")</f>
        <v>Avg</v>
      </c>
      <c r="I458">
        <v>108</v>
      </c>
      <c r="K458" s="3">
        <v>26809119</v>
      </c>
      <c r="L458" s="3">
        <v>20872746</v>
      </c>
      <c r="M458" s="3">
        <f t="shared" si="30"/>
        <v>5936373</v>
      </c>
      <c r="O458" t="s">
        <v>195</v>
      </c>
      <c r="P458" t="s">
        <v>11</v>
      </c>
      <c r="Q458" t="str">
        <f t="shared" si="31"/>
        <v>Kid</v>
      </c>
    </row>
    <row r="459" spans="1:17" x14ac:dyDescent="0.3">
      <c r="A459" t="s">
        <v>924</v>
      </c>
      <c r="B459">
        <v>2025</v>
      </c>
      <c r="C459" s="5" t="s">
        <v>163</v>
      </c>
      <c r="D459" t="s">
        <v>148</v>
      </c>
      <c r="E459" s="4">
        <v>7.3</v>
      </c>
      <c r="F459" t="str">
        <f t="shared" si="28"/>
        <v>Watch</v>
      </c>
      <c r="G459" t="str">
        <f t="shared" si="29"/>
        <v>Good</v>
      </c>
      <c r="H459" t="str" cm="1">
        <f t="array" ref="H459">_xlfn.IFS(E459&gt;8,"Best",E459=7,"Good",E459&gt;7,"Good",E459&lt;7,"Avg",E459&lt;6,"Below Avg")</f>
        <v>Good</v>
      </c>
      <c r="I459">
        <v>145</v>
      </c>
      <c r="K459" s="3">
        <v>43220400</v>
      </c>
      <c r="L459" s="3">
        <v>12047520</v>
      </c>
      <c r="M459" s="3">
        <f t="shared" si="30"/>
        <v>31172880</v>
      </c>
      <c r="O459" t="s">
        <v>187</v>
      </c>
      <c r="P459" t="s">
        <v>4</v>
      </c>
      <c r="Q459" t="str">
        <f t="shared" si="31"/>
        <v>Adult</v>
      </c>
    </row>
    <row r="460" spans="1:17" x14ac:dyDescent="0.3">
      <c r="A460" t="s">
        <v>928</v>
      </c>
      <c r="B460">
        <v>2025</v>
      </c>
      <c r="C460" s="5" t="s">
        <v>163</v>
      </c>
      <c r="D460" t="s">
        <v>8</v>
      </c>
      <c r="E460" s="4">
        <v>7.8</v>
      </c>
      <c r="F460" t="str">
        <f t="shared" si="28"/>
        <v>Watch</v>
      </c>
      <c r="G460" t="str">
        <f t="shared" si="29"/>
        <v>Good</v>
      </c>
      <c r="H460" t="str" cm="1">
        <f t="array" ref="H460">_xlfn.IFS(E460&gt;8,"Best",E460=7,"Good",E460&gt;7,"Good",E460&lt;7,"Avg",E460&lt;6,"Below Avg")</f>
        <v>Good</v>
      </c>
      <c r="I460">
        <v>120</v>
      </c>
      <c r="K460" s="3">
        <v>27849015</v>
      </c>
      <c r="L460" s="3">
        <v>21566010</v>
      </c>
      <c r="M460" s="3">
        <f t="shared" si="30"/>
        <v>6283005</v>
      </c>
      <c r="N460" t="s">
        <v>929</v>
      </c>
      <c r="O460" t="s">
        <v>930</v>
      </c>
      <c r="P460" t="s">
        <v>11</v>
      </c>
      <c r="Q460" t="str">
        <f t="shared" si="31"/>
        <v>Kid</v>
      </c>
    </row>
    <row r="461" spans="1:17" x14ac:dyDescent="0.3">
      <c r="A461" t="s">
        <v>931</v>
      </c>
      <c r="B461">
        <v>2025</v>
      </c>
      <c r="C461" s="5" t="s">
        <v>163</v>
      </c>
      <c r="D461" t="s">
        <v>27</v>
      </c>
      <c r="E461" s="4">
        <v>7.3</v>
      </c>
      <c r="F461" t="str">
        <f t="shared" si="28"/>
        <v>Watch</v>
      </c>
      <c r="G461" t="str">
        <f t="shared" si="29"/>
        <v>Good</v>
      </c>
      <c r="H461" t="str" cm="1">
        <f t="array" ref="H461">_xlfn.IFS(E461&gt;8,"Best",E461=7,"Good",E461&gt;7,"Good",E461&lt;7,"Avg",E461&lt;6,"Below Avg")</f>
        <v>Good</v>
      </c>
      <c r="I461">
        <v>91</v>
      </c>
      <c r="K461" s="3">
        <v>27502383</v>
      </c>
      <c r="L461" s="3">
        <v>21334922</v>
      </c>
      <c r="M461" s="3">
        <f t="shared" si="30"/>
        <v>6167461</v>
      </c>
      <c r="O461" t="s">
        <v>932</v>
      </c>
      <c r="P461" t="s">
        <v>11</v>
      </c>
      <c r="Q461" t="str">
        <f t="shared" si="31"/>
        <v>Kid</v>
      </c>
    </row>
    <row r="462" spans="1:17" x14ac:dyDescent="0.3">
      <c r="A462" t="s">
        <v>933</v>
      </c>
      <c r="B462">
        <v>2025</v>
      </c>
      <c r="C462" s="5" t="s">
        <v>163</v>
      </c>
      <c r="D462" t="s">
        <v>148</v>
      </c>
      <c r="E462" s="4">
        <v>7.2</v>
      </c>
      <c r="F462" t="str">
        <f t="shared" si="28"/>
        <v>Watch</v>
      </c>
      <c r="G462" t="str">
        <f t="shared" si="29"/>
        <v>Good</v>
      </c>
      <c r="H462" t="str" cm="1">
        <f t="array" ref="H462">_xlfn.IFS(E462&gt;8,"Best",E462=7,"Good",E462&gt;7,"Good",E462&lt;7,"Avg",E462&lt;6,"Below Avg")</f>
        <v>Good</v>
      </c>
      <c r="I462">
        <v>120</v>
      </c>
      <c r="K462" s="3">
        <v>42664900</v>
      </c>
      <c r="L462" s="3">
        <v>11924120</v>
      </c>
      <c r="M462" s="3">
        <f t="shared" si="30"/>
        <v>30740780</v>
      </c>
      <c r="N462" t="s">
        <v>305</v>
      </c>
      <c r="O462" t="s">
        <v>67</v>
      </c>
      <c r="P462" t="s">
        <v>4</v>
      </c>
      <c r="Q462" t="str">
        <f t="shared" si="31"/>
        <v>Adult</v>
      </c>
    </row>
    <row r="463" spans="1:17" x14ac:dyDescent="0.3">
      <c r="A463" t="s">
        <v>934</v>
      </c>
      <c r="B463">
        <v>2025</v>
      </c>
      <c r="C463" s="5" t="s">
        <v>163</v>
      </c>
      <c r="D463" t="s">
        <v>27</v>
      </c>
      <c r="E463" s="4">
        <v>8.1999999999999993</v>
      </c>
      <c r="F463" t="str">
        <f t="shared" si="28"/>
        <v>Watch</v>
      </c>
      <c r="G463" t="str">
        <f t="shared" si="29"/>
        <v>Good</v>
      </c>
      <c r="H463" t="str" cm="1">
        <f t="array" ref="H463">_xlfn.IFS(E463&gt;8,"Best",E463=7,"Good",E463&gt;7,"Good",E463&lt;7,"Avg",E463&lt;6,"Below Avg")</f>
        <v>Best</v>
      </c>
      <c r="I463">
        <v>136</v>
      </c>
      <c r="K463" s="3">
        <v>29402193</v>
      </c>
      <c r="L463" s="3">
        <v>22601462</v>
      </c>
      <c r="M463" s="3">
        <f t="shared" si="30"/>
        <v>6800731</v>
      </c>
      <c r="O463" t="s">
        <v>935</v>
      </c>
      <c r="P463" t="s">
        <v>11</v>
      </c>
      <c r="Q463" t="str">
        <f t="shared" si="31"/>
        <v>Kid</v>
      </c>
    </row>
    <row r="464" spans="1:17" x14ac:dyDescent="0.3">
      <c r="A464" t="s">
        <v>942</v>
      </c>
      <c r="B464">
        <v>2025</v>
      </c>
      <c r="C464" s="5" t="s">
        <v>163</v>
      </c>
      <c r="D464" t="s">
        <v>27</v>
      </c>
      <c r="E464" s="4">
        <v>6.8</v>
      </c>
      <c r="F464" t="str">
        <f t="shared" si="28"/>
        <v>Watch</v>
      </c>
      <c r="G464" t="str">
        <f t="shared" si="29"/>
        <v>Avg</v>
      </c>
      <c r="H464" t="str" cm="1">
        <f t="array" ref="H464">_xlfn.IFS(E464&gt;8,"Best",E464=7,"Good",E464&gt;7,"Good",E464&lt;7,"Avg",E464&lt;6,"Below Avg")</f>
        <v>Avg</v>
      </c>
      <c r="I464">
        <v>146</v>
      </c>
      <c r="K464" s="3">
        <v>29685498</v>
      </c>
      <c r="L464" s="3">
        <v>22790332</v>
      </c>
      <c r="M464" s="3">
        <f t="shared" si="30"/>
        <v>6895166</v>
      </c>
      <c r="N464" t="s">
        <v>943</v>
      </c>
      <c r="O464" t="s">
        <v>944</v>
      </c>
      <c r="P464" t="s">
        <v>11</v>
      </c>
      <c r="Q464" t="str">
        <f t="shared" si="31"/>
        <v>Kid</v>
      </c>
    </row>
    <row r="465" spans="1:17" x14ac:dyDescent="0.3">
      <c r="A465" t="s">
        <v>945</v>
      </c>
      <c r="B465">
        <v>2025</v>
      </c>
      <c r="C465" s="5" t="s">
        <v>163</v>
      </c>
      <c r="D465" t="s">
        <v>2</v>
      </c>
      <c r="E465" s="4">
        <v>9.1999999999999993</v>
      </c>
      <c r="F465" t="str">
        <f t="shared" si="28"/>
        <v>Watch</v>
      </c>
      <c r="G465" t="str">
        <f t="shared" si="29"/>
        <v>Best</v>
      </c>
      <c r="H465" t="str" cm="1">
        <f t="array" ref="H465">_xlfn.IFS(E465&gt;8,"Best",E465=7,"Good",E465&gt;7,"Good",E465&lt;7,"Avg",E465&lt;6,"Below Avg")</f>
        <v>Best</v>
      </c>
      <c r="I465">
        <v>149</v>
      </c>
      <c r="K465" s="3">
        <v>37826495</v>
      </c>
      <c r="L465" s="3">
        <v>10849306</v>
      </c>
      <c r="M465" s="3">
        <f t="shared" si="30"/>
        <v>26977189</v>
      </c>
      <c r="N465" t="s">
        <v>946</v>
      </c>
      <c r="O465" t="s">
        <v>947</v>
      </c>
      <c r="P465" t="s">
        <v>4</v>
      </c>
      <c r="Q465" t="str">
        <f t="shared" si="31"/>
        <v>Adult</v>
      </c>
    </row>
    <row r="466" spans="1:17" x14ac:dyDescent="0.3">
      <c r="A466" t="s">
        <v>948</v>
      </c>
      <c r="B466">
        <v>2025</v>
      </c>
      <c r="C466" s="5" t="s">
        <v>163</v>
      </c>
      <c r="D466" t="s">
        <v>23</v>
      </c>
      <c r="E466" s="4">
        <v>6.9</v>
      </c>
      <c r="F466" t="str">
        <f t="shared" si="28"/>
        <v>Watch</v>
      </c>
      <c r="G466" t="str">
        <f t="shared" si="29"/>
        <v>Avg</v>
      </c>
      <c r="H466" t="str" cm="1">
        <f t="array" ref="H466">_xlfn.IFS(E466&gt;8,"Best",E466=7,"Good",E466&gt;7,"Good",E466&lt;7,"Avg",E466&lt;6,"Below Avg")</f>
        <v>Avg</v>
      </c>
      <c r="I466">
        <v>123</v>
      </c>
      <c r="K466" s="3">
        <v>29358864</v>
      </c>
      <c r="L466" s="3">
        <v>22572576</v>
      </c>
      <c r="M466" s="3">
        <f t="shared" si="30"/>
        <v>6786288</v>
      </c>
      <c r="N466" t="s">
        <v>949</v>
      </c>
      <c r="O466" t="s">
        <v>950</v>
      </c>
      <c r="P466" t="s">
        <v>11</v>
      </c>
      <c r="Q466" t="str">
        <f t="shared" si="31"/>
        <v>Kid</v>
      </c>
    </row>
    <row r="467" spans="1:17" x14ac:dyDescent="0.3">
      <c r="A467" t="s">
        <v>951</v>
      </c>
      <c r="B467">
        <v>2025</v>
      </c>
      <c r="C467" s="5" t="s">
        <v>163</v>
      </c>
      <c r="D467" t="s">
        <v>8</v>
      </c>
      <c r="E467" s="4">
        <v>7.2</v>
      </c>
      <c r="F467" t="str">
        <f t="shared" si="28"/>
        <v>Watch</v>
      </c>
      <c r="G467" t="str">
        <f t="shared" si="29"/>
        <v>Good</v>
      </c>
      <c r="H467" t="str" cm="1">
        <f t="array" ref="H467">_xlfn.IFS(E467&gt;8,"Best",E467=7,"Good",E467&gt;7,"Good",E467&lt;7,"Avg",E467&lt;6,"Below Avg")</f>
        <v>Good</v>
      </c>
      <c r="I467">
        <v>159</v>
      </c>
      <c r="K467" s="3">
        <v>26729127</v>
      </c>
      <c r="L467" s="3">
        <v>20819418</v>
      </c>
      <c r="M467" s="3">
        <f t="shared" si="30"/>
        <v>5909709</v>
      </c>
      <c r="N467" t="s">
        <v>952</v>
      </c>
      <c r="O467" t="s">
        <v>953</v>
      </c>
      <c r="P467" t="s">
        <v>11</v>
      </c>
      <c r="Q467" t="str">
        <f t="shared" si="31"/>
        <v>Kid</v>
      </c>
    </row>
    <row r="468" spans="1:17" x14ac:dyDescent="0.3">
      <c r="A468" t="s">
        <v>954</v>
      </c>
      <c r="B468">
        <v>2025</v>
      </c>
      <c r="C468" s="5" t="s">
        <v>163</v>
      </c>
      <c r="D468" t="s">
        <v>148</v>
      </c>
      <c r="E468" s="4">
        <v>8.6999999999999993</v>
      </c>
      <c r="F468" t="str">
        <f t="shared" si="28"/>
        <v>Watch</v>
      </c>
      <c r="G468" t="str">
        <f t="shared" si="29"/>
        <v>Best</v>
      </c>
      <c r="H468" t="str" cm="1">
        <f t="array" ref="H468">_xlfn.IFS(E468&gt;8,"Best",E468=7,"Good",E468&gt;7,"Good",E468&lt;7,"Avg",E468&lt;6,"Below Avg")</f>
        <v>Best</v>
      </c>
      <c r="I468">
        <v>90</v>
      </c>
      <c r="K468" s="3">
        <v>39998500</v>
      </c>
      <c r="L468" s="3">
        <v>11331800</v>
      </c>
      <c r="M468" s="3">
        <f t="shared" si="30"/>
        <v>28666700</v>
      </c>
      <c r="O468" t="s">
        <v>955</v>
      </c>
      <c r="P468" t="s">
        <v>4</v>
      </c>
      <c r="Q468" t="str">
        <f t="shared" si="31"/>
        <v>Adult</v>
      </c>
    </row>
    <row r="469" spans="1:17" x14ac:dyDescent="0.3">
      <c r="A469" t="s">
        <v>956</v>
      </c>
      <c r="B469">
        <v>2025</v>
      </c>
      <c r="C469" s="5" t="s">
        <v>163</v>
      </c>
      <c r="D469" t="s">
        <v>39</v>
      </c>
      <c r="E469" s="4">
        <v>7.6</v>
      </c>
      <c r="F469" t="str">
        <f t="shared" si="28"/>
        <v>Watch</v>
      </c>
      <c r="G469" t="str">
        <f t="shared" si="29"/>
        <v>Good</v>
      </c>
      <c r="H469" t="str" cm="1">
        <f t="array" ref="H469">_xlfn.IFS(E469&gt;8,"Best",E469=7,"Good",E469&gt;7,"Good",E469&lt;7,"Avg",E469&lt;6,"Below Avg")</f>
        <v>Good</v>
      </c>
      <c r="I469">
        <v>91</v>
      </c>
      <c r="K469" s="3">
        <v>31252008</v>
      </c>
      <c r="L469" s="3">
        <v>23834672</v>
      </c>
      <c r="M469" s="3">
        <f t="shared" si="30"/>
        <v>7417336</v>
      </c>
      <c r="N469" t="s">
        <v>957</v>
      </c>
      <c r="O469" t="s">
        <v>958</v>
      </c>
      <c r="P469" t="s">
        <v>11</v>
      </c>
      <c r="Q469" t="str">
        <f t="shared" si="31"/>
        <v>Kid</v>
      </c>
    </row>
    <row r="470" spans="1:17" x14ac:dyDescent="0.3">
      <c r="A470" t="s">
        <v>964</v>
      </c>
      <c r="B470">
        <v>2025</v>
      </c>
      <c r="C470" s="5" t="s">
        <v>163</v>
      </c>
      <c r="D470" t="s">
        <v>2</v>
      </c>
      <c r="E470" s="4">
        <v>9.1</v>
      </c>
      <c r="F470" t="str">
        <f t="shared" si="28"/>
        <v>Watch</v>
      </c>
      <c r="G470" t="str">
        <f t="shared" si="29"/>
        <v>Best</v>
      </c>
      <c r="H470" t="str" cm="1">
        <f t="array" ref="H470">_xlfn.IFS(E470&gt;8,"Best",E470=7,"Good",E470&gt;7,"Good",E470&lt;7,"Avg",E470&lt;6,"Below Avg")</f>
        <v>Best</v>
      </c>
      <c r="I470">
        <v>157</v>
      </c>
      <c r="K470" s="3">
        <v>46620060</v>
      </c>
      <c r="L470" s="3">
        <v>12802728</v>
      </c>
      <c r="M470" s="3">
        <f t="shared" si="30"/>
        <v>33817332</v>
      </c>
      <c r="N470" t="s">
        <v>788</v>
      </c>
      <c r="O470" t="s">
        <v>824</v>
      </c>
      <c r="P470" t="s">
        <v>4</v>
      </c>
      <c r="Q470" t="str">
        <f t="shared" si="31"/>
        <v>Adult</v>
      </c>
    </row>
    <row r="471" spans="1:17" x14ac:dyDescent="0.3">
      <c r="A471" t="s">
        <v>965</v>
      </c>
      <c r="B471">
        <v>2025</v>
      </c>
      <c r="C471" s="5" t="s">
        <v>163</v>
      </c>
      <c r="D471" t="s">
        <v>8</v>
      </c>
      <c r="E471" s="4">
        <v>7.9</v>
      </c>
      <c r="F471" t="str">
        <f t="shared" si="28"/>
        <v>Watch</v>
      </c>
      <c r="G471" t="str">
        <f t="shared" si="29"/>
        <v>Good</v>
      </c>
      <c r="H471" t="str" cm="1">
        <f t="array" ref="H471">_xlfn.IFS(E471&gt;8,"Best",E471=7,"Good",E471&gt;7,"Good",E471&lt;7,"Avg",E471&lt;6,"Below Avg")</f>
        <v>Good</v>
      </c>
      <c r="I471">
        <v>106</v>
      </c>
      <c r="K471" s="3">
        <v>43800753</v>
      </c>
      <c r="L471" s="3">
        <v>32200502</v>
      </c>
      <c r="M471" s="3">
        <f t="shared" si="30"/>
        <v>11600251</v>
      </c>
      <c r="N471" t="s">
        <v>966</v>
      </c>
      <c r="O471" t="s">
        <v>967</v>
      </c>
      <c r="P471" t="s">
        <v>11</v>
      </c>
      <c r="Q471" t="str">
        <f t="shared" si="31"/>
        <v>Kid</v>
      </c>
    </row>
    <row r="472" spans="1:17" x14ac:dyDescent="0.3">
      <c r="A472" t="s">
        <v>968</v>
      </c>
      <c r="B472">
        <v>2025</v>
      </c>
      <c r="C472" s="5" t="s">
        <v>163</v>
      </c>
      <c r="D472" t="s">
        <v>49</v>
      </c>
      <c r="E472" s="4">
        <v>7.8</v>
      </c>
      <c r="F472" t="str">
        <f t="shared" si="28"/>
        <v>Watch</v>
      </c>
      <c r="G472" t="str">
        <f t="shared" si="29"/>
        <v>Good</v>
      </c>
      <c r="H472" t="str" cm="1">
        <f t="array" ref="H472">_xlfn.IFS(E472&gt;8,"Best",E472=7,"Good",E472&gt;7,"Good",E472&lt;7,"Avg",E472&lt;6,"Below Avg")</f>
        <v>Good</v>
      </c>
      <c r="I472">
        <v>156</v>
      </c>
      <c r="K472" s="3">
        <v>29718828</v>
      </c>
      <c r="L472" s="3">
        <v>22812552</v>
      </c>
      <c r="M472" s="3">
        <f t="shared" si="30"/>
        <v>6906276</v>
      </c>
      <c r="N472" t="s">
        <v>969</v>
      </c>
      <c r="O472" t="s">
        <v>970</v>
      </c>
      <c r="P472" t="s">
        <v>11</v>
      </c>
      <c r="Q472" t="str">
        <f t="shared" si="31"/>
        <v>Kid</v>
      </c>
    </row>
    <row r="473" spans="1:17" x14ac:dyDescent="0.3">
      <c r="A473" t="s">
        <v>1020</v>
      </c>
      <c r="B473">
        <v>2025</v>
      </c>
      <c r="C473" s="5" t="s">
        <v>309</v>
      </c>
      <c r="D473" t="s">
        <v>8</v>
      </c>
      <c r="E473" s="4">
        <v>7.1</v>
      </c>
      <c r="F473" t="str">
        <f t="shared" si="28"/>
        <v>Watch</v>
      </c>
      <c r="G473" t="str">
        <f t="shared" si="29"/>
        <v>Good</v>
      </c>
      <c r="H473" t="str" cm="1">
        <f t="array" ref="H473">_xlfn.IFS(E473&gt;8,"Best",E473=7,"Good",E473&gt;7,"Good",E473&lt;7,"Avg",E473&lt;6,"Below Avg")</f>
        <v>Good</v>
      </c>
      <c r="I473">
        <v>128</v>
      </c>
      <c r="K473" s="3">
        <v>31125354</v>
      </c>
      <c r="L473" s="3">
        <v>23750236</v>
      </c>
      <c r="M473" s="3">
        <f t="shared" si="30"/>
        <v>7375118</v>
      </c>
      <c r="N473" t="s">
        <v>526</v>
      </c>
      <c r="O473" t="s">
        <v>1021</v>
      </c>
      <c r="P473" t="s">
        <v>11</v>
      </c>
      <c r="Q473" t="str">
        <f t="shared" si="31"/>
        <v>Kid</v>
      </c>
    </row>
    <row r="474" spans="1:17" x14ac:dyDescent="0.3">
      <c r="A474" t="s">
        <v>1022</v>
      </c>
      <c r="B474">
        <v>2025</v>
      </c>
      <c r="C474" s="5" t="s">
        <v>309</v>
      </c>
      <c r="D474" t="s">
        <v>116</v>
      </c>
      <c r="E474" s="4">
        <v>7.2</v>
      </c>
      <c r="F474" t="str">
        <f t="shared" si="28"/>
        <v>Watch</v>
      </c>
      <c r="G474" t="str">
        <f t="shared" si="29"/>
        <v>Good</v>
      </c>
      <c r="H474" t="str" cm="1">
        <f t="array" ref="H474">_xlfn.IFS(E474&gt;8,"Best",E474=7,"Good",E474&gt;7,"Good",E474&lt;7,"Avg",E474&lt;6,"Below Avg")</f>
        <v>Good</v>
      </c>
      <c r="I474">
        <v>135</v>
      </c>
      <c r="K474" s="3">
        <v>29148885</v>
      </c>
      <c r="L474" s="3">
        <v>22432590</v>
      </c>
      <c r="M474" s="3">
        <f t="shared" si="30"/>
        <v>6716295</v>
      </c>
      <c r="N474" t="s">
        <v>1023</v>
      </c>
      <c r="O474" t="s">
        <v>884</v>
      </c>
      <c r="P474" t="s">
        <v>11</v>
      </c>
      <c r="Q474" t="str">
        <f t="shared" si="31"/>
        <v>Kid</v>
      </c>
    </row>
    <row r="475" spans="1:17" x14ac:dyDescent="0.3">
      <c r="A475" t="s">
        <v>1032</v>
      </c>
      <c r="B475">
        <v>2025</v>
      </c>
      <c r="C475" s="5" t="s">
        <v>309</v>
      </c>
      <c r="D475" t="s">
        <v>232</v>
      </c>
      <c r="E475" s="4">
        <v>9.1</v>
      </c>
      <c r="F475" t="str">
        <f t="shared" si="28"/>
        <v>Watch</v>
      </c>
      <c r="G475" t="str">
        <f t="shared" si="29"/>
        <v>Best</v>
      </c>
      <c r="H475" t="str" cm="1">
        <f t="array" ref="H475">_xlfn.IFS(E475&gt;8,"Best",E475=7,"Good",E475&gt;7,"Good",E475&lt;7,"Avg",E475&lt;6,"Below Avg")</f>
        <v>Best</v>
      </c>
      <c r="I475">
        <v>106</v>
      </c>
      <c r="K475" s="3">
        <v>28552278</v>
      </c>
      <c r="L475" s="3">
        <v>22034852</v>
      </c>
      <c r="M475" s="3">
        <f t="shared" si="30"/>
        <v>6517426</v>
      </c>
      <c r="O475" t="s">
        <v>1033</v>
      </c>
      <c r="P475" t="s">
        <v>11</v>
      </c>
      <c r="Q475" t="str">
        <f t="shared" si="31"/>
        <v>Kid</v>
      </c>
    </row>
    <row r="476" spans="1:17" x14ac:dyDescent="0.3">
      <c r="A476" t="s">
        <v>1048</v>
      </c>
      <c r="B476">
        <v>2025</v>
      </c>
      <c r="C476" s="5" t="s">
        <v>309</v>
      </c>
      <c r="D476" t="s">
        <v>27</v>
      </c>
      <c r="E476" s="4">
        <v>7.6</v>
      </c>
      <c r="F476" t="str">
        <f t="shared" si="28"/>
        <v>Watch</v>
      </c>
      <c r="G476" t="str">
        <f t="shared" si="29"/>
        <v>Good</v>
      </c>
      <c r="H476" t="str" cm="1">
        <f t="array" ref="H476">_xlfn.IFS(E476&gt;8,"Best",E476=7,"Good",E476&gt;7,"Good",E476&lt;7,"Avg",E476&lt;6,"Below Avg")</f>
        <v>Good</v>
      </c>
      <c r="I476">
        <v>133</v>
      </c>
      <c r="K476" s="3">
        <v>33891744</v>
      </c>
      <c r="L476" s="3">
        <v>25594496</v>
      </c>
      <c r="M476" s="3">
        <f t="shared" si="30"/>
        <v>8297248</v>
      </c>
      <c r="N476" t="s">
        <v>1049</v>
      </c>
      <c r="O476" t="s">
        <v>425</v>
      </c>
      <c r="P476" t="s">
        <v>11</v>
      </c>
      <c r="Q476" t="str">
        <f t="shared" si="31"/>
        <v>Kid</v>
      </c>
    </row>
    <row r="477" spans="1:17" x14ac:dyDescent="0.3">
      <c r="A477" t="s">
        <v>1052</v>
      </c>
      <c r="B477">
        <v>2025</v>
      </c>
      <c r="C477" s="5" t="s">
        <v>309</v>
      </c>
      <c r="D477" t="s">
        <v>8</v>
      </c>
      <c r="E477" s="4">
        <v>7.5</v>
      </c>
      <c r="F477" t="str">
        <f t="shared" si="28"/>
        <v>Watch</v>
      </c>
      <c r="G477" t="str">
        <f t="shared" si="29"/>
        <v>Good</v>
      </c>
      <c r="H477" t="str" cm="1">
        <f t="array" ref="H477">_xlfn.IFS(E477&gt;8,"Best",E477=7,"Good",E477&gt;7,"Good",E477&lt;7,"Avg",E477&lt;6,"Below Avg")</f>
        <v>Good</v>
      </c>
      <c r="I477">
        <v>90</v>
      </c>
      <c r="K477" s="3">
        <v>28498950</v>
      </c>
      <c r="L477" s="3">
        <v>21999300</v>
      </c>
      <c r="M477" s="3">
        <f t="shared" si="30"/>
        <v>6499650</v>
      </c>
      <c r="N477" t="s">
        <v>1053</v>
      </c>
      <c r="O477" t="s">
        <v>1054</v>
      </c>
      <c r="P477" t="s">
        <v>11</v>
      </c>
      <c r="Q477" t="str">
        <f t="shared" si="31"/>
        <v>Kid</v>
      </c>
    </row>
    <row r="478" spans="1:17" x14ac:dyDescent="0.3">
      <c r="A478" t="s">
        <v>1064</v>
      </c>
      <c r="B478">
        <v>2025</v>
      </c>
      <c r="C478" s="5" t="s">
        <v>309</v>
      </c>
      <c r="D478" t="s">
        <v>27</v>
      </c>
      <c r="E478" s="4">
        <v>6.4</v>
      </c>
      <c r="F478" t="str">
        <f t="shared" si="28"/>
        <v>Don't Watch</v>
      </c>
      <c r="G478" t="str">
        <f t="shared" si="29"/>
        <v>Avg</v>
      </c>
      <c r="H478" t="str" cm="1">
        <f t="array" ref="H478">_xlfn.IFS(E478&gt;8,"Best",E478=7,"Good",E478&gt;7,"Good",E478&lt;7,"Avg",E478&lt;6,"Below Avg")</f>
        <v>Avg</v>
      </c>
      <c r="I478">
        <v>148</v>
      </c>
      <c r="K478" s="3">
        <v>30442089</v>
      </c>
      <c r="L478" s="3">
        <v>23294726</v>
      </c>
      <c r="M478" s="3">
        <f t="shared" si="30"/>
        <v>7147363</v>
      </c>
      <c r="N478" t="s">
        <v>1065</v>
      </c>
      <c r="O478" t="s">
        <v>625</v>
      </c>
      <c r="P478" t="s">
        <v>11</v>
      </c>
      <c r="Q478" t="str">
        <f t="shared" si="31"/>
        <v>Kid</v>
      </c>
    </row>
    <row r="479" spans="1:17" x14ac:dyDescent="0.3">
      <c r="A479" t="s">
        <v>1024</v>
      </c>
      <c r="B479">
        <v>2025</v>
      </c>
      <c r="C479" s="5" t="s">
        <v>309</v>
      </c>
      <c r="D479" t="s">
        <v>232</v>
      </c>
      <c r="E479" s="4">
        <v>8.5</v>
      </c>
      <c r="F479" t="str">
        <f t="shared" si="28"/>
        <v>Watch</v>
      </c>
      <c r="G479" t="str">
        <f t="shared" si="29"/>
        <v>Good</v>
      </c>
      <c r="H479" t="str" cm="1">
        <f t="array" ref="H479">_xlfn.IFS(E479&gt;8,"Best",E479=7,"Good",E479&gt;7,"Good",E479&lt;7,"Avg",E479&lt;6,"Below Avg")</f>
        <v>Best</v>
      </c>
      <c r="I479">
        <v>142</v>
      </c>
      <c r="K479" s="3">
        <v>28422291</v>
      </c>
      <c r="L479" s="3">
        <v>21948194</v>
      </c>
      <c r="M479" s="3">
        <f t="shared" si="30"/>
        <v>6474097</v>
      </c>
      <c r="N479" t="s">
        <v>1025</v>
      </c>
      <c r="O479" t="s">
        <v>955</v>
      </c>
      <c r="P479" t="s">
        <v>11</v>
      </c>
      <c r="Q479" t="str">
        <f t="shared" si="31"/>
        <v>Kid</v>
      </c>
    </row>
    <row r="480" spans="1:17" x14ac:dyDescent="0.3">
      <c r="A480" t="s">
        <v>1026</v>
      </c>
      <c r="B480">
        <v>2025</v>
      </c>
      <c r="C480" s="5" t="s">
        <v>309</v>
      </c>
      <c r="D480" t="s">
        <v>49</v>
      </c>
      <c r="E480" s="4">
        <v>6.3</v>
      </c>
      <c r="F480" t="str">
        <f t="shared" si="28"/>
        <v>Don't Watch</v>
      </c>
      <c r="G480" t="str">
        <f t="shared" si="29"/>
        <v>Avg</v>
      </c>
      <c r="H480" t="str" cm="1">
        <f t="array" ref="H480">_xlfn.IFS(E480&gt;8,"Best",E480=7,"Good",E480&gt;7,"Good",E480&lt;7,"Avg",E480&lt;6,"Below Avg")</f>
        <v>Avg</v>
      </c>
      <c r="I480">
        <v>96</v>
      </c>
      <c r="K480" s="3">
        <v>33518448</v>
      </c>
      <c r="L480" s="3">
        <v>25345632</v>
      </c>
      <c r="M480" s="3">
        <f t="shared" si="30"/>
        <v>8172816</v>
      </c>
      <c r="O480" t="s">
        <v>3</v>
      </c>
      <c r="P480" t="s">
        <v>11</v>
      </c>
      <c r="Q480" t="str">
        <f t="shared" si="31"/>
        <v>Kid</v>
      </c>
    </row>
    <row r="481" spans="1:17" x14ac:dyDescent="0.3">
      <c r="A481" t="s">
        <v>1027</v>
      </c>
      <c r="B481">
        <v>2025</v>
      </c>
      <c r="C481" s="5" t="s">
        <v>309</v>
      </c>
      <c r="D481" t="s">
        <v>148</v>
      </c>
      <c r="E481" s="4">
        <v>8.1</v>
      </c>
      <c r="F481" t="str">
        <f t="shared" si="28"/>
        <v>Watch</v>
      </c>
      <c r="G481" t="str">
        <f t="shared" si="29"/>
        <v>Good</v>
      </c>
      <c r="H481" t="str" cm="1">
        <f t="array" ref="H481">_xlfn.IFS(E481&gt;8,"Best",E481=7,"Good",E481&gt;7,"Good",E481&lt;7,"Avg",E481&lt;6,"Below Avg")</f>
        <v>Best</v>
      </c>
      <c r="I481">
        <v>150</v>
      </c>
      <c r="K481" s="3">
        <v>40331800</v>
      </c>
      <c r="L481" s="3">
        <v>11405840</v>
      </c>
      <c r="M481" s="3">
        <f t="shared" si="30"/>
        <v>28925960</v>
      </c>
      <c r="N481" t="s">
        <v>1028</v>
      </c>
      <c r="O481" t="s">
        <v>464</v>
      </c>
      <c r="P481" t="s">
        <v>4</v>
      </c>
      <c r="Q481" t="str">
        <f t="shared" si="31"/>
        <v>Adult</v>
      </c>
    </row>
    <row r="482" spans="1:17" x14ac:dyDescent="0.3">
      <c r="A482" t="s">
        <v>1029</v>
      </c>
      <c r="B482">
        <v>2025</v>
      </c>
      <c r="C482" s="5" t="s">
        <v>309</v>
      </c>
      <c r="D482" t="s">
        <v>8</v>
      </c>
      <c r="E482" s="4">
        <v>8.3000000000000007</v>
      </c>
      <c r="F482" t="str">
        <f t="shared" si="28"/>
        <v>Watch</v>
      </c>
      <c r="G482" t="str">
        <f t="shared" si="29"/>
        <v>Good</v>
      </c>
      <c r="H482" t="str" cm="1">
        <f t="array" ref="H482">_xlfn.IFS(E482&gt;8,"Best",E482=7,"Good",E482&gt;7,"Good",E482&lt;7,"Avg",E482&lt;6,"Below Avg")</f>
        <v>Best</v>
      </c>
      <c r="I482">
        <v>119</v>
      </c>
      <c r="K482" s="3">
        <v>27095757</v>
      </c>
      <c r="L482" s="3">
        <v>21063838</v>
      </c>
      <c r="M482" s="3">
        <f t="shared" si="30"/>
        <v>6031919</v>
      </c>
      <c r="O482" t="s">
        <v>442</v>
      </c>
      <c r="P482" t="s">
        <v>11</v>
      </c>
      <c r="Q482" t="str">
        <f t="shared" si="31"/>
        <v>Kid</v>
      </c>
    </row>
    <row r="483" spans="1:17" x14ac:dyDescent="0.3">
      <c r="A483" t="s">
        <v>1030</v>
      </c>
      <c r="B483">
        <v>2025</v>
      </c>
      <c r="C483" s="5" t="s">
        <v>309</v>
      </c>
      <c r="D483" t="s">
        <v>93</v>
      </c>
      <c r="E483" s="4">
        <v>7.8</v>
      </c>
      <c r="F483" t="str">
        <f t="shared" si="28"/>
        <v>Watch</v>
      </c>
      <c r="G483" t="str">
        <f t="shared" si="29"/>
        <v>Good</v>
      </c>
      <c r="H483" t="str" cm="1">
        <f t="array" ref="H483">_xlfn.IFS(E483&gt;8,"Best",E483=7,"Good",E483&gt;7,"Good",E483&lt;7,"Avg",E483&lt;6,"Below Avg")</f>
        <v>Good</v>
      </c>
      <c r="I483">
        <v>117</v>
      </c>
      <c r="K483" s="3">
        <v>31588641</v>
      </c>
      <c r="L483" s="3">
        <v>24059094</v>
      </c>
      <c r="M483" s="3">
        <f t="shared" si="30"/>
        <v>7529547</v>
      </c>
      <c r="O483" t="s">
        <v>1031</v>
      </c>
      <c r="P483" t="s">
        <v>11</v>
      </c>
      <c r="Q483" t="str">
        <f t="shared" si="31"/>
        <v>Kid</v>
      </c>
    </row>
    <row r="484" spans="1:17" x14ac:dyDescent="0.3">
      <c r="A484" t="s">
        <v>1034</v>
      </c>
      <c r="B484">
        <v>2025</v>
      </c>
      <c r="C484" s="5" t="s">
        <v>309</v>
      </c>
      <c r="D484" t="s">
        <v>232</v>
      </c>
      <c r="E484" s="4">
        <v>7.9</v>
      </c>
      <c r="F484" t="str">
        <f t="shared" si="28"/>
        <v>Watch</v>
      </c>
      <c r="G484" t="str">
        <f t="shared" si="29"/>
        <v>Good</v>
      </c>
      <c r="H484" t="str" cm="1">
        <f t="array" ref="H484">_xlfn.IFS(E484&gt;8,"Best",E484=7,"Good",E484&gt;7,"Good",E484&lt;7,"Avg",E484&lt;6,"Below Avg")</f>
        <v>Good</v>
      </c>
      <c r="I484">
        <v>133</v>
      </c>
      <c r="K484" s="3">
        <v>29392194</v>
      </c>
      <c r="L484" s="3">
        <v>22594796</v>
      </c>
      <c r="M484" s="3">
        <f t="shared" si="30"/>
        <v>6797398</v>
      </c>
      <c r="N484" t="s">
        <v>1035</v>
      </c>
      <c r="O484" t="s">
        <v>1036</v>
      </c>
      <c r="P484" t="s">
        <v>11</v>
      </c>
      <c r="Q484" t="str">
        <f t="shared" si="31"/>
        <v>Kid</v>
      </c>
    </row>
    <row r="485" spans="1:17" x14ac:dyDescent="0.3">
      <c r="A485" t="s">
        <v>1037</v>
      </c>
      <c r="B485">
        <v>2025</v>
      </c>
      <c r="C485" s="5" t="s">
        <v>309</v>
      </c>
      <c r="D485" t="s">
        <v>8</v>
      </c>
      <c r="E485" s="4">
        <v>6.6</v>
      </c>
      <c r="F485" t="str">
        <f t="shared" si="28"/>
        <v>Watch</v>
      </c>
      <c r="G485" t="str">
        <f t="shared" si="29"/>
        <v>Avg</v>
      </c>
      <c r="H485" t="str" cm="1">
        <f t="array" ref="H485">_xlfn.IFS(E485&gt;8,"Best",E485=7,"Good",E485&gt;7,"Good",E485&lt;7,"Avg",E485&lt;6,"Below Avg")</f>
        <v>Avg</v>
      </c>
      <c r="I485">
        <v>111</v>
      </c>
      <c r="K485" s="3">
        <v>26819118</v>
      </c>
      <c r="L485" s="3">
        <v>20879412</v>
      </c>
      <c r="M485" s="3">
        <f t="shared" si="30"/>
        <v>5939706</v>
      </c>
      <c r="N485" t="s">
        <v>1038</v>
      </c>
      <c r="O485" t="s">
        <v>1039</v>
      </c>
      <c r="P485" t="s">
        <v>11</v>
      </c>
      <c r="Q485" t="str">
        <f t="shared" si="31"/>
        <v>Kid</v>
      </c>
    </row>
    <row r="486" spans="1:17" x14ac:dyDescent="0.3">
      <c r="A486" t="s">
        <v>1040</v>
      </c>
      <c r="B486">
        <v>2025</v>
      </c>
      <c r="C486" s="5" t="s">
        <v>309</v>
      </c>
      <c r="D486" t="s">
        <v>8</v>
      </c>
      <c r="E486" s="4">
        <v>6.5</v>
      </c>
      <c r="F486" t="str">
        <f t="shared" si="28"/>
        <v>Don't Watch</v>
      </c>
      <c r="G486" t="str">
        <f t="shared" si="29"/>
        <v>Avg</v>
      </c>
      <c r="H486" t="str" cm="1">
        <f t="array" ref="H486">_xlfn.IFS(E486&gt;8,"Best",E486=7,"Good",E486&gt;7,"Good",E486&lt;7,"Avg",E486&lt;6,"Below Avg")</f>
        <v>Avg</v>
      </c>
      <c r="I486">
        <v>131</v>
      </c>
      <c r="K486" s="3">
        <v>30885378</v>
      </c>
      <c r="L486" s="3">
        <v>23590252</v>
      </c>
      <c r="M486" s="3">
        <f t="shared" si="30"/>
        <v>7295126</v>
      </c>
      <c r="O486" t="s">
        <v>1041</v>
      </c>
      <c r="P486" t="s">
        <v>11</v>
      </c>
      <c r="Q486" t="str">
        <f t="shared" si="31"/>
        <v>Kid</v>
      </c>
    </row>
    <row r="487" spans="1:17" x14ac:dyDescent="0.3">
      <c r="A487" t="s">
        <v>1042</v>
      </c>
      <c r="B487">
        <v>2025</v>
      </c>
      <c r="C487" s="5" t="s">
        <v>309</v>
      </c>
      <c r="D487" t="s">
        <v>8</v>
      </c>
      <c r="E487" s="4">
        <v>7.9</v>
      </c>
      <c r="F487" t="str">
        <f t="shared" si="28"/>
        <v>Watch</v>
      </c>
      <c r="G487" t="str">
        <f t="shared" si="29"/>
        <v>Good</v>
      </c>
      <c r="H487" t="str" cm="1">
        <f t="array" ref="H487">_xlfn.IFS(E487&gt;8,"Best",E487=7,"Good",E487&gt;7,"Good",E487&lt;7,"Avg",E487&lt;6,"Below Avg")</f>
        <v>Good</v>
      </c>
      <c r="I487">
        <v>91</v>
      </c>
      <c r="K487" s="3">
        <v>26752458</v>
      </c>
      <c r="L487" s="3">
        <v>20834972</v>
      </c>
      <c r="M487" s="3">
        <f t="shared" si="30"/>
        <v>5917486</v>
      </c>
      <c r="N487" t="s">
        <v>1043</v>
      </c>
      <c r="O487" t="s">
        <v>590</v>
      </c>
      <c r="P487" t="s">
        <v>11</v>
      </c>
      <c r="Q487" t="str">
        <f t="shared" si="31"/>
        <v>Kid</v>
      </c>
    </row>
    <row r="488" spans="1:17" x14ac:dyDescent="0.3">
      <c r="A488" t="s">
        <v>1044</v>
      </c>
      <c r="B488">
        <v>2025</v>
      </c>
      <c r="C488" s="5" t="s">
        <v>309</v>
      </c>
      <c r="D488" t="s">
        <v>49</v>
      </c>
      <c r="E488" s="4">
        <v>7</v>
      </c>
      <c r="F488" t="str">
        <f t="shared" si="28"/>
        <v>Watch</v>
      </c>
      <c r="G488" t="str">
        <f t="shared" si="29"/>
        <v>Avg</v>
      </c>
      <c r="H488" t="str" cm="1">
        <f t="array" ref="H488">_xlfn.IFS(E488&gt;8,"Best",E488=7,"Good",E488&gt;7,"Good",E488&lt;7,"Avg",E488&lt;6,"Below Avg")</f>
        <v>Good</v>
      </c>
      <c r="I488">
        <v>136</v>
      </c>
      <c r="K488" s="3">
        <v>28152318</v>
      </c>
      <c r="L488" s="3">
        <v>21768212</v>
      </c>
      <c r="M488" s="3">
        <f t="shared" si="30"/>
        <v>6384106</v>
      </c>
      <c r="O488" t="s">
        <v>1045</v>
      </c>
      <c r="P488" t="s">
        <v>11</v>
      </c>
      <c r="Q488" t="str">
        <f t="shared" si="31"/>
        <v>Kid</v>
      </c>
    </row>
    <row r="489" spans="1:17" x14ac:dyDescent="0.3">
      <c r="A489" t="s">
        <v>1046</v>
      </c>
      <c r="B489">
        <v>2025</v>
      </c>
      <c r="C489" s="5" t="s">
        <v>309</v>
      </c>
      <c r="D489" t="s">
        <v>8</v>
      </c>
      <c r="E489" s="4">
        <v>6.2</v>
      </c>
      <c r="F489" t="str">
        <f t="shared" si="28"/>
        <v>Don't Watch</v>
      </c>
      <c r="G489" t="str">
        <f t="shared" si="29"/>
        <v>Avg</v>
      </c>
      <c r="H489" t="str" cm="1">
        <f t="array" ref="H489">_xlfn.IFS(E489&gt;8,"Best",E489=7,"Good",E489&gt;7,"Good",E489&lt;7,"Avg",E489&lt;6,"Below Avg")</f>
        <v>Avg</v>
      </c>
      <c r="I489">
        <v>158</v>
      </c>
      <c r="K489" s="3">
        <v>26475819</v>
      </c>
      <c r="L489" s="3">
        <v>20650546</v>
      </c>
      <c r="M489" s="3">
        <f t="shared" si="30"/>
        <v>5825273</v>
      </c>
      <c r="O489" t="s">
        <v>1047</v>
      </c>
      <c r="P489" t="s">
        <v>11</v>
      </c>
      <c r="Q489" t="str">
        <f t="shared" si="31"/>
        <v>Kid</v>
      </c>
    </row>
    <row r="490" spans="1:17" x14ac:dyDescent="0.3">
      <c r="A490" t="s">
        <v>1050</v>
      </c>
      <c r="B490">
        <v>2025</v>
      </c>
      <c r="C490" s="5" t="s">
        <v>309</v>
      </c>
      <c r="D490" t="s">
        <v>27</v>
      </c>
      <c r="E490" s="4">
        <v>6.1</v>
      </c>
      <c r="F490" t="str">
        <f t="shared" si="28"/>
        <v>Don't Watch</v>
      </c>
      <c r="G490" t="str">
        <f t="shared" si="29"/>
        <v>Avg</v>
      </c>
      <c r="H490" t="str" cm="1">
        <f t="array" ref="H490">_xlfn.IFS(E490&gt;8,"Best",E490=7,"Good",E490&gt;7,"Good",E490&lt;7,"Avg",E490&lt;6,"Below Avg")</f>
        <v>Avg</v>
      </c>
      <c r="I490">
        <v>112</v>
      </c>
      <c r="K490" s="3">
        <v>30322101</v>
      </c>
      <c r="L490" s="3">
        <v>23214734</v>
      </c>
      <c r="M490" s="3">
        <f t="shared" si="30"/>
        <v>7107367</v>
      </c>
      <c r="O490" t="s">
        <v>1051</v>
      </c>
      <c r="P490" t="s">
        <v>11</v>
      </c>
      <c r="Q490" t="str">
        <f t="shared" si="31"/>
        <v>Kid</v>
      </c>
    </row>
    <row r="491" spans="1:17" x14ac:dyDescent="0.3">
      <c r="A491" t="s">
        <v>1055</v>
      </c>
      <c r="B491">
        <v>2025</v>
      </c>
      <c r="C491" s="5" t="s">
        <v>309</v>
      </c>
      <c r="D491" t="s">
        <v>27</v>
      </c>
      <c r="E491" s="4">
        <v>8</v>
      </c>
      <c r="F491" t="str">
        <f t="shared" si="28"/>
        <v>Watch</v>
      </c>
      <c r="G491" t="str">
        <f t="shared" si="29"/>
        <v>Good</v>
      </c>
      <c r="H491" t="str" cm="1">
        <f t="array" ref="H491">_xlfn.IFS(E491&gt;8,"Best",E491=7,"Good",E491&gt;7,"Good",E491&lt;7,"Avg",E491&lt;6,"Below Avg")</f>
        <v>Good</v>
      </c>
      <c r="I491">
        <v>161</v>
      </c>
      <c r="K491" s="3">
        <v>64482018</v>
      </c>
      <c r="L491" s="3">
        <v>45988012</v>
      </c>
      <c r="M491" s="3">
        <f t="shared" si="30"/>
        <v>18494006</v>
      </c>
      <c r="O491" t="s">
        <v>1056</v>
      </c>
      <c r="P491" t="s">
        <v>11</v>
      </c>
      <c r="Q491" t="str">
        <f t="shared" si="31"/>
        <v>Kid</v>
      </c>
    </row>
    <row r="492" spans="1:17" x14ac:dyDescent="0.3">
      <c r="A492" t="s">
        <v>1057</v>
      </c>
      <c r="B492">
        <v>2025</v>
      </c>
      <c r="C492" s="5" t="s">
        <v>309</v>
      </c>
      <c r="D492" t="s">
        <v>8</v>
      </c>
      <c r="E492" s="4">
        <v>7.2</v>
      </c>
      <c r="F492" t="str">
        <f t="shared" si="28"/>
        <v>Watch</v>
      </c>
      <c r="G492" t="str">
        <f t="shared" si="29"/>
        <v>Good</v>
      </c>
      <c r="H492" t="str" cm="1">
        <f t="array" ref="H492">_xlfn.IFS(E492&gt;8,"Best",E492=7,"Good",E492&gt;7,"Good",E492&lt;7,"Avg",E492&lt;6,"Below Avg")</f>
        <v>Good</v>
      </c>
      <c r="I492">
        <v>90</v>
      </c>
      <c r="K492" s="3">
        <v>30248775</v>
      </c>
      <c r="L492" s="3">
        <v>23165850</v>
      </c>
      <c r="M492" s="3">
        <f t="shared" si="30"/>
        <v>7082925</v>
      </c>
      <c r="N492" t="s">
        <v>1058</v>
      </c>
      <c r="O492" t="s">
        <v>1059</v>
      </c>
      <c r="P492" t="s">
        <v>11</v>
      </c>
      <c r="Q492" t="str">
        <f t="shared" si="31"/>
        <v>Kid</v>
      </c>
    </row>
    <row r="493" spans="1:17" x14ac:dyDescent="0.3">
      <c r="A493" t="s">
        <v>1060</v>
      </c>
      <c r="B493">
        <v>2025</v>
      </c>
      <c r="C493" s="5" t="s">
        <v>309</v>
      </c>
      <c r="D493" t="s">
        <v>8</v>
      </c>
      <c r="E493" s="4">
        <v>8.4</v>
      </c>
      <c r="F493" t="str">
        <f t="shared" si="28"/>
        <v>Watch</v>
      </c>
      <c r="G493" t="str">
        <f t="shared" si="29"/>
        <v>Good</v>
      </c>
      <c r="H493" t="str" cm="1">
        <f t="array" ref="H493">_xlfn.IFS(E493&gt;8,"Best",E493=7,"Good",E493&gt;7,"Good",E493&lt;7,"Avg",E493&lt;6,"Below Avg")</f>
        <v>Best</v>
      </c>
      <c r="I493">
        <v>156</v>
      </c>
      <c r="K493" s="3">
        <v>31718628</v>
      </c>
      <c r="L493" s="3">
        <v>24145752</v>
      </c>
      <c r="M493" s="3">
        <f t="shared" si="30"/>
        <v>7572876</v>
      </c>
      <c r="O493" t="s">
        <v>826</v>
      </c>
      <c r="P493" t="s">
        <v>11</v>
      </c>
      <c r="Q493" t="str">
        <f t="shared" si="31"/>
        <v>Kid</v>
      </c>
    </row>
    <row r="494" spans="1:17" x14ac:dyDescent="0.3">
      <c r="A494" t="s">
        <v>1061</v>
      </c>
      <c r="B494">
        <v>2025</v>
      </c>
      <c r="C494" s="5" t="s">
        <v>309</v>
      </c>
      <c r="D494" t="s">
        <v>61</v>
      </c>
      <c r="E494" s="4">
        <v>8</v>
      </c>
      <c r="F494" t="str">
        <f t="shared" si="28"/>
        <v>Watch</v>
      </c>
      <c r="G494" t="str">
        <f t="shared" si="29"/>
        <v>Good</v>
      </c>
      <c r="H494" t="str" cm="1">
        <f t="array" ref="H494">_xlfn.IFS(E494&gt;8,"Best",E494=7,"Good",E494&gt;7,"Good",E494&lt;7,"Avg",E494&lt;6,"Below Avg")</f>
        <v>Good</v>
      </c>
      <c r="I494">
        <v>152</v>
      </c>
      <c r="K494" s="3">
        <v>28955571</v>
      </c>
      <c r="L494" s="3">
        <v>22303714</v>
      </c>
      <c r="M494" s="3">
        <f t="shared" si="30"/>
        <v>6651857</v>
      </c>
      <c r="O494" t="s">
        <v>187</v>
      </c>
      <c r="P494" t="s">
        <v>11</v>
      </c>
      <c r="Q494" t="str">
        <f t="shared" si="31"/>
        <v>Kid</v>
      </c>
    </row>
    <row r="495" spans="1:17" x14ac:dyDescent="0.3">
      <c r="A495" t="s">
        <v>1062</v>
      </c>
      <c r="B495">
        <v>2025</v>
      </c>
      <c r="C495" s="5" t="s">
        <v>309</v>
      </c>
      <c r="D495" t="s">
        <v>8</v>
      </c>
      <c r="E495" s="4">
        <v>8.3000000000000007</v>
      </c>
      <c r="F495" t="str">
        <f t="shared" si="28"/>
        <v>Watch</v>
      </c>
      <c r="G495" t="str">
        <f t="shared" si="29"/>
        <v>Good</v>
      </c>
      <c r="H495" t="str" cm="1">
        <f t="array" ref="H495">_xlfn.IFS(E495&gt;8,"Best",E495=7,"Good",E495&gt;7,"Good",E495&lt;7,"Avg",E495&lt;6,"Below Avg")</f>
        <v>Best</v>
      </c>
      <c r="I495">
        <v>116</v>
      </c>
      <c r="K495" s="3">
        <v>28085658</v>
      </c>
      <c r="L495" s="3">
        <v>21723772</v>
      </c>
      <c r="M495" s="3">
        <f t="shared" si="30"/>
        <v>6361886</v>
      </c>
      <c r="O495" t="s">
        <v>1063</v>
      </c>
      <c r="P495" t="s">
        <v>11</v>
      </c>
      <c r="Q495" t="str">
        <f t="shared" si="31"/>
        <v>Kid</v>
      </c>
    </row>
    <row r="496" spans="1:17" x14ac:dyDescent="0.3">
      <c r="A496" t="s">
        <v>1066</v>
      </c>
      <c r="B496">
        <v>2025</v>
      </c>
      <c r="C496" s="5" t="s">
        <v>309</v>
      </c>
      <c r="D496" t="s">
        <v>8</v>
      </c>
      <c r="E496" s="4">
        <v>6.4</v>
      </c>
      <c r="F496" t="str">
        <f t="shared" si="28"/>
        <v>Don't Watch</v>
      </c>
      <c r="G496" t="str">
        <f t="shared" si="29"/>
        <v>Avg</v>
      </c>
      <c r="H496" t="str" cm="1">
        <f t="array" ref="H496">_xlfn.IFS(E496&gt;8,"Best",E496=7,"Good",E496&gt;7,"Good",E496&lt;7,"Avg",E496&lt;6,"Below Avg")</f>
        <v>Avg</v>
      </c>
      <c r="I496">
        <v>112</v>
      </c>
      <c r="K496" s="3">
        <v>31322001</v>
      </c>
      <c r="L496" s="3">
        <v>23881334</v>
      </c>
      <c r="M496" s="3">
        <f t="shared" si="30"/>
        <v>7440667</v>
      </c>
      <c r="O496" t="s">
        <v>1067</v>
      </c>
      <c r="P496" t="s">
        <v>11</v>
      </c>
      <c r="Q496" t="str">
        <f t="shared" si="31"/>
        <v>Kid</v>
      </c>
    </row>
    <row r="497" spans="1:17" x14ac:dyDescent="0.3">
      <c r="A497" t="s">
        <v>1367</v>
      </c>
      <c r="B497">
        <v>2025</v>
      </c>
      <c r="C497" s="5" t="s">
        <v>693</v>
      </c>
      <c r="D497" t="s">
        <v>39</v>
      </c>
      <c r="E497" s="4">
        <v>9</v>
      </c>
      <c r="F497" t="str">
        <f t="shared" si="28"/>
        <v>Watch</v>
      </c>
      <c r="G497" t="str">
        <f t="shared" si="29"/>
        <v>Best</v>
      </c>
      <c r="H497" t="str" cm="1">
        <f t="array" ref="H497">_xlfn.IFS(E497&gt;8,"Best",E497=7,"Good",E497&gt;7,"Good",E497&lt;7,"Avg",E497&lt;6,"Below Avg")</f>
        <v>Best</v>
      </c>
      <c r="I497">
        <v>135</v>
      </c>
      <c r="K497" s="3">
        <v>29648835</v>
      </c>
      <c r="L497" s="3">
        <v>22765890</v>
      </c>
      <c r="M497" s="3">
        <f t="shared" si="30"/>
        <v>6882945</v>
      </c>
      <c r="N497" t="s">
        <v>719</v>
      </c>
      <c r="O497" t="s">
        <v>1368</v>
      </c>
      <c r="P497" t="s">
        <v>11</v>
      </c>
      <c r="Q497" t="str">
        <f t="shared" si="31"/>
        <v>Kid</v>
      </c>
    </row>
    <row r="498" spans="1:17" x14ac:dyDescent="0.3">
      <c r="A498" t="s">
        <v>1372</v>
      </c>
      <c r="B498">
        <v>2025</v>
      </c>
      <c r="C498" s="5" t="s">
        <v>693</v>
      </c>
      <c r="D498" t="s">
        <v>8</v>
      </c>
      <c r="E498" s="4">
        <v>8.4</v>
      </c>
      <c r="F498" t="str">
        <f t="shared" si="28"/>
        <v>Watch</v>
      </c>
      <c r="G498" t="str">
        <f t="shared" si="29"/>
        <v>Good</v>
      </c>
      <c r="H498" t="str" cm="1">
        <f t="array" ref="H498">_xlfn.IFS(E498&gt;8,"Best",E498=7,"Good",E498&gt;7,"Good",E498&lt;7,"Avg",E498&lt;6,"Below Avg")</f>
        <v>Best</v>
      </c>
      <c r="I498">
        <v>135</v>
      </c>
      <c r="K498" s="3">
        <v>30398760</v>
      </c>
      <c r="L498" s="3">
        <v>23265840</v>
      </c>
      <c r="M498" s="3">
        <f t="shared" si="30"/>
        <v>7132920</v>
      </c>
      <c r="O498" t="s">
        <v>1373</v>
      </c>
      <c r="P498" t="s">
        <v>11</v>
      </c>
      <c r="Q498" t="str">
        <f t="shared" si="31"/>
        <v>Kid</v>
      </c>
    </row>
    <row r="499" spans="1:17" x14ac:dyDescent="0.3">
      <c r="A499" t="s">
        <v>1374</v>
      </c>
      <c r="B499">
        <v>2025</v>
      </c>
      <c r="C499" s="5" t="s">
        <v>693</v>
      </c>
      <c r="D499" t="s">
        <v>8</v>
      </c>
      <c r="E499" s="4">
        <v>7.2</v>
      </c>
      <c r="F499" t="str">
        <f t="shared" si="28"/>
        <v>Watch</v>
      </c>
      <c r="G499" t="str">
        <f t="shared" si="29"/>
        <v>Good</v>
      </c>
      <c r="H499" t="str" cm="1">
        <f t="array" ref="H499">_xlfn.IFS(E499&gt;8,"Best",E499=7,"Good",E499&gt;7,"Good",E499&lt;7,"Avg",E499&lt;6,"Below Avg")</f>
        <v>Good</v>
      </c>
      <c r="I499">
        <v>156</v>
      </c>
      <c r="K499" s="3">
        <v>30468753</v>
      </c>
      <c r="L499" s="3">
        <v>23312502</v>
      </c>
      <c r="M499" s="3">
        <f t="shared" si="30"/>
        <v>7156251</v>
      </c>
      <c r="O499" t="s">
        <v>1375</v>
      </c>
      <c r="P499" t="s">
        <v>11</v>
      </c>
      <c r="Q499" t="str">
        <f t="shared" si="31"/>
        <v>Kid</v>
      </c>
    </row>
    <row r="500" spans="1:17" x14ac:dyDescent="0.3">
      <c r="A500" t="s">
        <v>1393</v>
      </c>
      <c r="B500">
        <v>2025</v>
      </c>
      <c r="C500" s="5" t="s">
        <v>693</v>
      </c>
      <c r="D500" t="s">
        <v>23</v>
      </c>
      <c r="E500" s="4">
        <v>9</v>
      </c>
      <c r="F500" t="str">
        <f t="shared" si="28"/>
        <v>Watch</v>
      </c>
      <c r="G500" t="str">
        <f t="shared" si="29"/>
        <v>Best</v>
      </c>
      <c r="H500" t="str" cm="1">
        <f t="array" ref="H500">_xlfn.IFS(E500&gt;8,"Best",E500=7,"Good",E500&gt;7,"Good",E500&lt;7,"Avg",E500&lt;6,"Below Avg")</f>
        <v>Best</v>
      </c>
      <c r="I500">
        <v>123</v>
      </c>
      <c r="K500" s="3">
        <v>30858714</v>
      </c>
      <c r="L500" s="3">
        <v>23572476</v>
      </c>
      <c r="M500" s="3">
        <f t="shared" si="30"/>
        <v>7286238</v>
      </c>
      <c r="N500" t="s">
        <v>1394</v>
      </c>
      <c r="O500" t="s">
        <v>1395</v>
      </c>
      <c r="P500" t="s">
        <v>11</v>
      </c>
      <c r="Q500" t="str">
        <f t="shared" si="31"/>
        <v>Kid</v>
      </c>
    </row>
    <row r="501" spans="1:17" x14ac:dyDescent="0.3">
      <c r="A501" t="s">
        <v>1398</v>
      </c>
      <c r="B501">
        <v>2025</v>
      </c>
      <c r="C501" s="5" t="s">
        <v>693</v>
      </c>
      <c r="D501" t="s">
        <v>8</v>
      </c>
      <c r="E501" s="4">
        <v>7</v>
      </c>
      <c r="F501" t="str">
        <f t="shared" si="28"/>
        <v>Watch</v>
      </c>
      <c r="G501" t="str">
        <f t="shared" si="29"/>
        <v>Avg</v>
      </c>
      <c r="H501" t="str" cm="1">
        <f t="array" ref="H501">_xlfn.IFS(E501&gt;8,"Best",E501=7,"Good",E501&gt;7,"Good",E501&lt;7,"Avg",E501&lt;6,"Below Avg")</f>
        <v>Good</v>
      </c>
      <c r="I501">
        <v>97</v>
      </c>
      <c r="K501" s="3">
        <v>32771856</v>
      </c>
      <c r="L501" s="3">
        <v>24847904</v>
      </c>
      <c r="M501" s="3">
        <f t="shared" si="30"/>
        <v>7923952</v>
      </c>
      <c r="N501" t="s">
        <v>1399</v>
      </c>
      <c r="O501" t="s">
        <v>1400</v>
      </c>
      <c r="P501" t="s">
        <v>11</v>
      </c>
      <c r="Q501" t="str">
        <f t="shared" si="31"/>
        <v>Kid</v>
      </c>
    </row>
    <row r="502" spans="1:17" x14ac:dyDescent="0.3">
      <c r="A502" t="s">
        <v>1425</v>
      </c>
      <c r="B502">
        <v>2025</v>
      </c>
      <c r="C502" s="5" t="s">
        <v>693</v>
      </c>
      <c r="D502" t="s">
        <v>8</v>
      </c>
      <c r="E502" s="4">
        <v>6.2</v>
      </c>
      <c r="F502" t="str">
        <f t="shared" si="28"/>
        <v>Don't Watch</v>
      </c>
      <c r="G502" t="str">
        <f t="shared" si="29"/>
        <v>Avg</v>
      </c>
      <c r="H502" t="str" cm="1">
        <f t="array" ref="H502">_xlfn.IFS(E502&gt;8,"Best",E502=7,"Good",E502&gt;7,"Good",E502&lt;7,"Avg",E502&lt;6,"Below Avg")</f>
        <v>Avg</v>
      </c>
      <c r="I502">
        <v>149</v>
      </c>
      <c r="K502" s="3">
        <v>492392730</v>
      </c>
      <c r="L502" s="3">
        <v>164838314</v>
      </c>
      <c r="M502" s="3">
        <f t="shared" si="30"/>
        <v>327554416</v>
      </c>
      <c r="N502" t="s">
        <v>730</v>
      </c>
      <c r="O502" t="s">
        <v>731</v>
      </c>
      <c r="P502" t="s">
        <v>11</v>
      </c>
      <c r="Q502" t="str">
        <f t="shared" si="31"/>
        <v>Kid</v>
      </c>
    </row>
    <row r="503" spans="1:17" x14ac:dyDescent="0.3">
      <c r="A503" t="s">
        <v>1430</v>
      </c>
      <c r="B503">
        <v>2025</v>
      </c>
      <c r="C503" s="5" t="s">
        <v>693</v>
      </c>
      <c r="D503" t="s">
        <v>8</v>
      </c>
      <c r="E503" s="4">
        <v>9.1</v>
      </c>
      <c r="F503" t="str">
        <f t="shared" si="28"/>
        <v>Watch</v>
      </c>
      <c r="G503" t="str">
        <f t="shared" si="29"/>
        <v>Best</v>
      </c>
      <c r="H503" t="str" cm="1">
        <f t="array" ref="H503">_xlfn.IFS(E503&gt;8,"Best",E503=7,"Good",E503&gt;7,"Good",E503&lt;7,"Avg",E503&lt;6,"Below Avg")</f>
        <v>Best</v>
      </c>
      <c r="I503">
        <v>127</v>
      </c>
      <c r="K503" s="3">
        <v>27122421</v>
      </c>
      <c r="L503" s="3">
        <v>21081614</v>
      </c>
      <c r="M503" s="3">
        <f t="shared" si="30"/>
        <v>6040807</v>
      </c>
      <c r="N503" t="s">
        <v>1431</v>
      </c>
      <c r="O503" t="s">
        <v>1432</v>
      </c>
      <c r="P503" t="s">
        <v>11</v>
      </c>
      <c r="Q503" t="str">
        <f t="shared" si="31"/>
        <v>Kid</v>
      </c>
    </row>
    <row r="504" spans="1:17" x14ac:dyDescent="0.3">
      <c r="A504" t="s">
        <v>1435</v>
      </c>
      <c r="B504">
        <v>2025</v>
      </c>
      <c r="C504" s="5" t="s">
        <v>693</v>
      </c>
      <c r="D504" t="s">
        <v>93</v>
      </c>
      <c r="E504" s="4">
        <v>8.3000000000000007</v>
      </c>
      <c r="F504" t="str">
        <f t="shared" si="28"/>
        <v>Watch</v>
      </c>
      <c r="G504" t="str">
        <f t="shared" si="29"/>
        <v>Good</v>
      </c>
      <c r="H504" t="str" cm="1">
        <f t="array" ref="H504">_xlfn.IFS(E504&gt;8,"Best",E504=7,"Good",E504&gt;7,"Good",E504&lt;7,"Avg",E504&lt;6,"Below Avg")</f>
        <v>Best</v>
      </c>
      <c r="I504">
        <v>125</v>
      </c>
      <c r="K504" s="3">
        <v>486541200</v>
      </c>
      <c r="L504" s="3">
        <v>162790160</v>
      </c>
      <c r="M504" s="3">
        <f t="shared" si="30"/>
        <v>323751040</v>
      </c>
      <c r="N504" t="s">
        <v>1436</v>
      </c>
      <c r="O504" t="s">
        <v>753</v>
      </c>
      <c r="P504" t="s">
        <v>403</v>
      </c>
      <c r="Q504" t="str">
        <f t="shared" si="31"/>
        <v>Kid</v>
      </c>
    </row>
    <row r="505" spans="1:17" x14ac:dyDescent="0.3">
      <c r="A505" t="s">
        <v>1444</v>
      </c>
      <c r="B505">
        <v>2025</v>
      </c>
      <c r="C505" s="5" t="s">
        <v>693</v>
      </c>
      <c r="D505" t="s">
        <v>8</v>
      </c>
      <c r="E505" s="4">
        <v>8.8000000000000007</v>
      </c>
      <c r="F505" t="str">
        <f t="shared" si="28"/>
        <v>Watch</v>
      </c>
      <c r="G505" t="str">
        <f t="shared" si="29"/>
        <v>Best</v>
      </c>
      <c r="H505" t="str" cm="1">
        <f t="array" ref="H505">_xlfn.IFS(E505&gt;8,"Best",E505=7,"Good",E505&gt;7,"Good",E505&lt;7,"Avg",E505&lt;6,"Below Avg")</f>
        <v>Best</v>
      </c>
      <c r="I505">
        <v>91</v>
      </c>
      <c r="K505" s="3">
        <v>35251608</v>
      </c>
      <c r="L505" s="3">
        <v>26501072</v>
      </c>
      <c r="M505" s="3">
        <f t="shared" si="30"/>
        <v>8750536</v>
      </c>
      <c r="O505" t="s">
        <v>1445</v>
      </c>
      <c r="P505" t="s">
        <v>11</v>
      </c>
      <c r="Q505" t="str">
        <f t="shared" si="31"/>
        <v>Kid</v>
      </c>
    </row>
    <row r="506" spans="1:17" x14ac:dyDescent="0.3">
      <c r="A506" t="s">
        <v>1369</v>
      </c>
      <c r="B506">
        <v>2025</v>
      </c>
      <c r="C506" s="5" t="s">
        <v>693</v>
      </c>
      <c r="D506" t="s">
        <v>8</v>
      </c>
      <c r="E506" s="4">
        <v>6.7</v>
      </c>
      <c r="F506" t="str">
        <f t="shared" si="28"/>
        <v>Watch</v>
      </c>
      <c r="G506" t="str">
        <f t="shared" si="29"/>
        <v>Avg</v>
      </c>
      <c r="H506" t="str" cm="1">
        <f t="array" ref="H506">_xlfn.IFS(E506&gt;8,"Best",E506=7,"Good",E506&gt;7,"Good",E506&lt;7,"Avg",E506&lt;6,"Below Avg")</f>
        <v>Avg</v>
      </c>
      <c r="I506">
        <v>103</v>
      </c>
      <c r="K506" s="3">
        <v>27042429</v>
      </c>
      <c r="L506" s="3">
        <v>21028286</v>
      </c>
      <c r="M506" s="3">
        <f t="shared" si="30"/>
        <v>6014143</v>
      </c>
      <c r="N506" t="s">
        <v>1370</v>
      </c>
      <c r="O506" t="s">
        <v>1371</v>
      </c>
      <c r="P506" t="s">
        <v>11</v>
      </c>
      <c r="Q506" t="str">
        <f t="shared" si="31"/>
        <v>Kid</v>
      </c>
    </row>
    <row r="507" spans="1:17" x14ac:dyDescent="0.3">
      <c r="A507" t="s">
        <v>1376</v>
      </c>
      <c r="B507">
        <v>2025</v>
      </c>
      <c r="C507" s="5" t="s">
        <v>693</v>
      </c>
      <c r="D507" t="s">
        <v>23</v>
      </c>
      <c r="E507" s="4">
        <v>8.8000000000000007</v>
      </c>
      <c r="F507" t="str">
        <f t="shared" si="28"/>
        <v>Watch</v>
      </c>
      <c r="G507" t="str">
        <f t="shared" si="29"/>
        <v>Best</v>
      </c>
      <c r="H507" t="str" cm="1">
        <f t="array" ref="H507">_xlfn.IFS(E507&gt;8,"Best",E507=7,"Good",E507&gt;7,"Good",E507&lt;7,"Avg",E507&lt;6,"Below Avg")</f>
        <v>Best</v>
      </c>
      <c r="I507">
        <v>163</v>
      </c>
      <c r="K507" s="3">
        <v>27992334</v>
      </c>
      <c r="L507" s="3">
        <v>21661556</v>
      </c>
      <c r="M507" s="3">
        <f t="shared" si="30"/>
        <v>6330778</v>
      </c>
      <c r="O507" t="s">
        <v>1377</v>
      </c>
      <c r="P507" t="s">
        <v>11</v>
      </c>
      <c r="Q507" t="str">
        <f t="shared" si="31"/>
        <v>Kid</v>
      </c>
    </row>
    <row r="508" spans="1:17" x14ac:dyDescent="0.3">
      <c r="A508" t="s">
        <v>1378</v>
      </c>
      <c r="B508">
        <v>2025</v>
      </c>
      <c r="C508" s="5" t="s">
        <v>693</v>
      </c>
      <c r="D508" t="s">
        <v>8</v>
      </c>
      <c r="E508" s="4">
        <v>9</v>
      </c>
      <c r="F508" t="str">
        <f t="shared" si="28"/>
        <v>Watch</v>
      </c>
      <c r="G508" t="str">
        <f t="shared" si="29"/>
        <v>Best</v>
      </c>
      <c r="H508" t="str" cm="1">
        <f t="array" ref="H508">_xlfn.IFS(E508&gt;8,"Best",E508=7,"Good",E508&gt;7,"Good",E508&lt;7,"Avg",E508&lt;6,"Below Avg")</f>
        <v>Best</v>
      </c>
      <c r="I508">
        <v>132</v>
      </c>
      <c r="K508" s="3">
        <v>27889011</v>
      </c>
      <c r="L508" s="3">
        <v>21592674</v>
      </c>
      <c r="M508" s="3">
        <f t="shared" si="30"/>
        <v>6296337</v>
      </c>
      <c r="O508" t="s">
        <v>1379</v>
      </c>
      <c r="P508" t="s">
        <v>11</v>
      </c>
      <c r="Q508" t="str">
        <f t="shared" si="31"/>
        <v>Kid</v>
      </c>
    </row>
    <row r="509" spans="1:17" x14ac:dyDescent="0.3">
      <c r="A509" t="s">
        <v>1380</v>
      </c>
      <c r="B509">
        <v>2025</v>
      </c>
      <c r="C509" s="5" t="s">
        <v>693</v>
      </c>
      <c r="D509" t="s">
        <v>61</v>
      </c>
      <c r="E509" s="4">
        <v>8.8000000000000007</v>
      </c>
      <c r="F509" t="str">
        <f t="shared" si="28"/>
        <v>Watch</v>
      </c>
      <c r="G509" t="str">
        <f t="shared" si="29"/>
        <v>Best</v>
      </c>
      <c r="H509" t="str" cm="1">
        <f t="array" ref="H509">_xlfn.IFS(E509&gt;8,"Best",E509=7,"Good",E509&gt;7,"Good",E509&lt;7,"Avg",E509&lt;6,"Below Avg")</f>
        <v>Best</v>
      </c>
      <c r="I509">
        <v>157</v>
      </c>
      <c r="K509" s="3">
        <v>27222411</v>
      </c>
      <c r="L509" s="3">
        <v>21148274</v>
      </c>
      <c r="M509" s="3">
        <f t="shared" si="30"/>
        <v>6074137</v>
      </c>
      <c r="O509" t="s">
        <v>1381</v>
      </c>
      <c r="P509" t="s">
        <v>11</v>
      </c>
      <c r="Q509" t="str">
        <f t="shared" si="31"/>
        <v>Kid</v>
      </c>
    </row>
    <row r="510" spans="1:17" x14ac:dyDescent="0.3">
      <c r="A510" t="s">
        <v>1382</v>
      </c>
      <c r="B510">
        <v>2025</v>
      </c>
      <c r="C510" s="5" t="s">
        <v>693</v>
      </c>
      <c r="D510" t="s">
        <v>8</v>
      </c>
      <c r="E510" s="4">
        <v>6.3</v>
      </c>
      <c r="F510" t="str">
        <f t="shared" si="28"/>
        <v>Don't Watch</v>
      </c>
      <c r="G510" t="str">
        <f t="shared" si="29"/>
        <v>Avg</v>
      </c>
      <c r="H510" t="str" cm="1">
        <f t="array" ref="H510">_xlfn.IFS(E510&gt;8,"Best",E510=7,"Good",E510&gt;7,"Good",E510&lt;7,"Avg",E510&lt;6,"Below Avg")</f>
        <v>Avg</v>
      </c>
      <c r="I510">
        <v>111</v>
      </c>
      <c r="K510" s="3">
        <v>28568943</v>
      </c>
      <c r="L510" s="3">
        <v>22045962</v>
      </c>
      <c r="M510" s="3">
        <f t="shared" si="30"/>
        <v>6522981</v>
      </c>
      <c r="O510" t="s">
        <v>1383</v>
      </c>
      <c r="P510" t="s">
        <v>11</v>
      </c>
      <c r="Q510" t="str">
        <f t="shared" si="31"/>
        <v>Kid</v>
      </c>
    </row>
    <row r="511" spans="1:17" x14ac:dyDescent="0.3">
      <c r="A511" t="s">
        <v>1384</v>
      </c>
      <c r="B511">
        <v>2025</v>
      </c>
      <c r="C511" s="5" t="s">
        <v>693</v>
      </c>
      <c r="D511" t="s">
        <v>93</v>
      </c>
      <c r="E511" s="4">
        <v>6.7</v>
      </c>
      <c r="F511" t="str">
        <f t="shared" si="28"/>
        <v>Watch</v>
      </c>
      <c r="G511" t="str">
        <f t="shared" si="29"/>
        <v>Avg</v>
      </c>
      <c r="H511" t="str" cm="1">
        <f t="array" ref="H511">_xlfn.IFS(E511&gt;8,"Best",E511=7,"Good",E511&gt;7,"Good",E511&lt;7,"Avg",E511&lt;6,"Below Avg")</f>
        <v>Avg</v>
      </c>
      <c r="I511">
        <v>97</v>
      </c>
      <c r="K511" s="3">
        <v>29022231</v>
      </c>
      <c r="L511" s="3">
        <v>22348154</v>
      </c>
      <c r="M511" s="3">
        <f t="shared" si="30"/>
        <v>6674077</v>
      </c>
      <c r="O511" t="s">
        <v>1385</v>
      </c>
      <c r="P511" t="s">
        <v>11</v>
      </c>
      <c r="Q511" t="str">
        <f t="shared" si="31"/>
        <v>Kid</v>
      </c>
    </row>
    <row r="512" spans="1:17" x14ac:dyDescent="0.3">
      <c r="A512" t="s">
        <v>1386</v>
      </c>
      <c r="B512">
        <v>2025</v>
      </c>
      <c r="C512" s="5" t="s">
        <v>693</v>
      </c>
      <c r="D512" t="s">
        <v>61</v>
      </c>
      <c r="E512" s="4">
        <v>9</v>
      </c>
      <c r="F512" t="str">
        <f t="shared" si="28"/>
        <v>Watch</v>
      </c>
      <c r="G512" t="str">
        <f t="shared" si="29"/>
        <v>Best</v>
      </c>
      <c r="H512" t="str" cm="1">
        <f t="array" ref="H512">_xlfn.IFS(E512&gt;8,"Best",E512=7,"Good",E512&gt;7,"Good",E512&lt;7,"Avg",E512&lt;6,"Below Avg")</f>
        <v>Best</v>
      </c>
      <c r="I512">
        <v>162</v>
      </c>
      <c r="K512" s="3">
        <v>28988901</v>
      </c>
      <c r="L512" s="3">
        <v>22325934</v>
      </c>
      <c r="M512" s="3">
        <f t="shared" si="30"/>
        <v>6662967</v>
      </c>
      <c r="O512" t="s">
        <v>396</v>
      </c>
      <c r="P512" t="s">
        <v>11</v>
      </c>
      <c r="Q512" t="str">
        <f t="shared" si="31"/>
        <v>Kid</v>
      </c>
    </row>
    <row r="513" spans="1:17" x14ac:dyDescent="0.3">
      <c r="A513" t="s">
        <v>1387</v>
      </c>
      <c r="B513">
        <v>2025</v>
      </c>
      <c r="C513" s="5" t="s">
        <v>693</v>
      </c>
      <c r="D513" t="s">
        <v>8</v>
      </c>
      <c r="E513" s="4">
        <v>7.7</v>
      </c>
      <c r="F513" t="str">
        <f t="shared" si="28"/>
        <v>Watch</v>
      </c>
      <c r="G513" t="str">
        <f t="shared" si="29"/>
        <v>Good</v>
      </c>
      <c r="H513" t="str" cm="1">
        <f t="array" ref="H513">_xlfn.IFS(E513&gt;8,"Best",E513=7,"Good",E513&gt;7,"Good",E513&lt;7,"Avg",E513&lt;6,"Below Avg")</f>
        <v>Good</v>
      </c>
      <c r="I513">
        <v>107</v>
      </c>
      <c r="K513" s="3">
        <v>29055561</v>
      </c>
      <c r="L513" s="3">
        <v>22370374</v>
      </c>
      <c r="M513" s="3">
        <f t="shared" si="30"/>
        <v>6685187</v>
      </c>
      <c r="N513" t="s">
        <v>446</v>
      </c>
      <c r="O513" t="s">
        <v>67</v>
      </c>
      <c r="P513" t="s">
        <v>11</v>
      </c>
      <c r="Q513" t="str">
        <f t="shared" si="31"/>
        <v>Kid</v>
      </c>
    </row>
    <row r="514" spans="1:17" x14ac:dyDescent="0.3">
      <c r="A514" t="s">
        <v>1388</v>
      </c>
      <c r="B514">
        <v>2025</v>
      </c>
      <c r="C514" s="5" t="s">
        <v>693</v>
      </c>
      <c r="D514" t="s">
        <v>8</v>
      </c>
      <c r="E514" s="4">
        <v>9.1</v>
      </c>
      <c r="F514" t="str">
        <f t="shared" ref="F514:F577" si="32">IF(E514&gt;6.5,"Watch","Don't Watch")</f>
        <v>Watch</v>
      </c>
      <c r="G514" t="str">
        <f t="shared" ref="G514:G577" si="33">IF(E514&gt;8.5,"Best",IF(E514&gt;7,"Good",IF(E514&gt;5,"Avg",IF(E514&lt;5,"Below Avg",IF(E514&lt;3,"Bad",)))))</f>
        <v>Best</v>
      </c>
      <c r="H514" t="str" cm="1">
        <f t="array" ref="H514">_xlfn.IFS(E514&gt;8,"Best",E514=7,"Good",E514&gt;7,"Good",E514&lt;7,"Avg",E514&lt;6,"Below Avg")</f>
        <v>Best</v>
      </c>
      <c r="I514">
        <v>112</v>
      </c>
      <c r="K514" s="3">
        <v>29322201</v>
      </c>
      <c r="L514" s="3">
        <v>22548134</v>
      </c>
      <c r="M514" s="3">
        <f t="shared" ref="M514:M577" si="34" xml:space="preserve"> (K514-L514)</f>
        <v>6774067</v>
      </c>
      <c r="O514" t="s">
        <v>818</v>
      </c>
      <c r="P514" t="s">
        <v>11</v>
      </c>
      <c r="Q514" t="str">
        <f t="shared" ref="Q514:Q577" si="35">IF(P514="R","Adult","Kid")</f>
        <v>Kid</v>
      </c>
    </row>
    <row r="515" spans="1:17" x14ac:dyDescent="0.3">
      <c r="A515" t="s">
        <v>1389</v>
      </c>
      <c r="B515">
        <v>2025</v>
      </c>
      <c r="C515" s="5" t="s">
        <v>693</v>
      </c>
      <c r="D515" t="s">
        <v>8</v>
      </c>
      <c r="E515" s="4">
        <v>7.8</v>
      </c>
      <c r="F515" t="str">
        <f t="shared" si="32"/>
        <v>Watch</v>
      </c>
      <c r="G515" t="str">
        <f t="shared" si="33"/>
        <v>Good</v>
      </c>
      <c r="H515" t="str" cm="1">
        <f t="array" ref="H515">_xlfn.IFS(E515&gt;8,"Best",E515=7,"Good",E515&gt;7,"Good",E515&lt;7,"Avg",E515&lt;6,"Below Avg")</f>
        <v>Good</v>
      </c>
      <c r="I515">
        <v>126</v>
      </c>
      <c r="K515" s="3">
        <v>28618938</v>
      </c>
      <c r="L515" s="3">
        <v>22079292</v>
      </c>
      <c r="M515" s="3">
        <f t="shared" si="34"/>
        <v>6539646</v>
      </c>
      <c r="O515" t="s">
        <v>497</v>
      </c>
      <c r="P515" t="s">
        <v>11</v>
      </c>
      <c r="Q515" t="str">
        <f t="shared" si="35"/>
        <v>Kid</v>
      </c>
    </row>
    <row r="516" spans="1:17" x14ac:dyDescent="0.3">
      <c r="A516" t="s">
        <v>1390</v>
      </c>
      <c r="B516">
        <v>2025</v>
      </c>
      <c r="C516" s="5" t="s">
        <v>693</v>
      </c>
      <c r="D516" t="s">
        <v>8</v>
      </c>
      <c r="E516" s="4">
        <v>7.8</v>
      </c>
      <c r="F516" t="str">
        <f t="shared" si="32"/>
        <v>Watch</v>
      </c>
      <c r="G516" t="str">
        <f t="shared" si="33"/>
        <v>Good</v>
      </c>
      <c r="H516" t="str" cm="1">
        <f t="array" ref="H516">_xlfn.IFS(E516&gt;8,"Best",E516=7,"Good",E516&gt;7,"Good",E516&lt;7,"Avg",E516&lt;6,"Below Avg")</f>
        <v>Good</v>
      </c>
      <c r="I516">
        <v>159</v>
      </c>
      <c r="K516" s="3">
        <v>31478652</v>
      </c>
      <c r="L516" s="3">
        <v>23985768</v>
      </c>
      <c r="M516" s="3">
        <f t="shared" si="34"/>
        <v>7492884</v>
      </c>
      <c r="N516" t="s">
        <v>1391</v>
      </c>
      <c r="O516" t="s">
        <v>1392</v>
      </c>
      <c r="P516" t="s">
        <v>11</v>
      </c>
      <c r="Q516" t="str">
        <f t="shared" si="35"/>
        <v>Kid</v>
      </c>
    </row>
    <row r="517" spans="1:17" x14ac:dyDescent="0.3">
      <c r="A517" t="s">
        <v>1396</v>
      </c>
      <c r="B517">
        <v>2025</v>
      </c>
      <c r="C517" s="5" t="s">
        <v>693</v>
      </c>
      <c r="D517" t="s">
        <v>39</v>
      </c>
      <c r="E517" s="4">
        <v>6.7</v>
      </c>
      <c r="F517" t="str">
        <f t="shared" si="32"/>
        <v>Watch</v>
      </c>
      <c r="G517" t="str">
        <f t="shared" si="33"/>
        <v>Avg</v>
      </c>
      <c r="H517" t="str" cm="1">
        <f t="array" ref="H517">_xlfn.IFS(E517&gt;8,"Best",E517=7,"Good",E517&gt;7,"Good",E517&lt;7,"Avg",E517&lt;6,"Below Avg")</f>
        <v>Avg</v>
      </c>
      <c r="I517">
        <v>160</v>
      </c>
      <c r="K517" s="3">
        <v>27482385</v>
      </c>
      <c r="L517" s="3">
        <v>21321590</v>
      </c>
      <c r="M517" s="3">
        <f t="shared" si="34"/>
        <v>6160795</v>
      </c>
      <c r="N517" t="s">
        <v>1397</v>
      </c>
      <c r="O517" t="s">
        <v>107</v>
      </c>
      <c r="P517" t="s">
        <v>11</v>
      </c>
      <c r="Q517" t="str">
        <f t="shared" si="35"/>
        <v>Kid</v>
      </c>
    </row>
    <row r="518" spans="1:17" x14ac:dyDescent="0.3">
      <c r="A518" t="s">
        <v>1401</v>
      </c>
      <c r="B518">
        <v>2025</v>
      </c>
      <c r="C518" s="5" t="s">
        <v>693</v>
      </c>
      <c r="D518" t="s">
        <v>39</v>
      </c>
      <c r="E518" s="4">
        <v>6</v>
      </c>
      <c r="F518" t="str">
        <f t="shared" si="32"/>
        <v>Don't Watch</v>
      </c>
      <c r="G518" t="str">
        <f t="shared" si="33"/>
        <v>Avg</v>
      </c>
      <c r="H518" t="str" cm="1">
        <f t="array" ref="H518">_xlfn.IFS(E518&gt;8,"Best",E518=7,"Good",E518&gt;7,"Good",E518&lt;7,"Avg",E518&lt;6,"Below Avg")</f>
        <v>Avg</v>
      </c>
      <c r="I518">
        <v>114</v>
      </c>
      <c r="K518" s="3">
        <v>29328867</v>
      </c>
      <c r="L518" s="3">
        <v>22552578</v>
      </c>
      <c r="M518" s="3">
        <f t="shared" si="34"/>
        <v>6776289</v>
      </c>
      <c r="O518" t="s">
        <v>1402</v>
      </c>
      <c r="P518" t="s">
        <v>11</v>
      </c>
      <c r="Q518" t="str">
        <f t="shared" si="35"/>
        <v>Kid</v>
      </c>
    </row>
    <row r="519" spans="1:17" x14ac:dyDescent="0.3">
      <c r="A519" t="s">
        <v>1403</v>
      </c>
      <c r="B519">
        <v>2025</v>
      </c>
      <c r="C519" s="5" t="s">
        <v>693</v>
      </c>
      <c r="D519" t="s">
        <v>127</v>
      </c>
      <c r="E519" s="4">
        <v>8.1999999999999993</v>
      </c>
      <c r="F519" t="str">
        <f t="shared" si="32"/>
        <v>Watch</v>
      </c>
      <c r="G519" t="str">
        <f t="shared" si="33"/>
        <v>Good</v>
      </c>
      <c r="H519" t="str" cm="1">
        <f t="array" ref="H519">_xlfn.IFS(E519&gt;8,"Best",E519=7,"Good",E519&gt;7,"Good",E519&lt;7,"Avg",E519&lt;6,"Below Avg")</f>
        <v>Best</v>
      </c>
      <c r="I519">
        <v>94</v>
      </c>
      <c r="K519" s="3">
        <v>26762457</v>
      </c>
      <c r="L519" s="3">
        <v>20841638</v>
      </c>
      <c r="M519" s="3">
        <f t="shared" si="34"/>
        <v>5920819</v>
      </c>
      <c r="N519" t="s">
        <v>1404</v>
      </c>
      <c r="O519" t="s">
        <v>932</v>
      </c>
      <c r="P519" t="s">
        <v>11</v>
      </c>
      <c r="Q519" t="str">
        <f t="shared" si="35"/>
        <v>Kid</v>
      </c>
    </row>
    <row r="520" spans="1:17" x14ac:dyDescent="0.3">
      <c r="A520" t="s">
        <v>1405</v>
      </c>
      <c r="B520">
        <v>2025</v>
      </c>
      <c r="C520" s="5" t="s">
        <v>693</v>
      </c>
      <c r="D520" t="s">
        <v>27</v>
      </c>
      <c r="E520" s="4">
        <v>8.4</v>
      </c>
      <c r="F520" t="str">
        <f t="shared" si="32"/>
        <v>Watch</v>
      </c>
      <c r="G520" t="str">
        <f t="shared" si="33"/>
        <v>Good</v>
      </c>
      <c r="H520" t="str" cm="1">
        <f t="array" ref="H520">_xlfn.IFS(E520&gt;8,"Best",E520=7,"Good",E520&gt;7,"Good",E520&lt;7,"Avg",E520&lt;6,"Below Avg")</f>
        <v>Best</v>
      </c>
      <c r="I520">
        <v>102</v>
      </c>
      <c r="K520" s="3">
        <v>27539046</v>
      </c>
      <c r="L520" s="3">
        <v>21359364</v>
      </c>
      <c r="M520" s="3">
        <f t="shared" si="34"/>
        <v>6179682</v>
      </c>
      <c r="O520" t="s">
        <v>1406</v>
      </c>
      <c r="P520" t="s">
        <v>11</v>
      </c>
      <c r="Q520" t="str">
        <f t="shared" si="35"/>
        <v>Kid</v>
      </c>
    </row>
    <row r="521" spans="1:17" x14ac:dyDescent="0.3">
      <c r="A521" t="s">
        <v>1407</v>
      </c>
      <c r="B521">
        <v>2025</v>
      </c>
      <c r="C521" s="5" t="s">
        <v>693</v>
      </c>
      <c r="D521" t="s">
        <v>8</v>
      </c>
      <c r="E521" s="4">
        <v>7</v>
      </c>
      <c r="F521" t="str">
        <f t="shared" si="32"/>
        <v>Watch</v>
      </c>
      <c r="G521" t="str">
        <f t="shared" si="33"/>
        <v>Avg</v>
      </c>
      <c r="H521" t="str" cm="1">
        <f t="array" ref="H521">_xlfn.IFS(E521&gt;8,"Best",E521=7,"Good",E521&gt;7,"Good",E521&lt;7,"Avg",E521&lt;6,"Below Avg")</f>
        <v>Good</v>
      </c>
      <c r="I521">
        <v>145</v>
      </c>
      <c r="K521" s="3">
        <v>27932340</v>
      </c>
      <c r="L521" s="3">
        <v>21621560</v>
      </c>
      <c r="M521" s="3">
        <f t="shared" si="34"/>
        <v>6310780</v>
      </c>
      <c r="N521" t="s">
        <v>1408</v>
      </c>
      <c r="O521" t="s">
        <v>1409</v>
      </c>
      <c r="P521" t="s">
        <v>11</v>
      </c>
      <c r="Q521" t="str">
        <f t="shared" si="35"/>
        <v>Kid</v>
      </c>
    </row>
    <row r="522" spans="1:17" x14ac:dyDescent="0.3">
      <c r="A522" t="s">
        <v>1410</v>
      </c>
      <c r="B522">
        <v>2025</v>
      </c>
      <c r="C522" s="5" t="s">
        <v>693</v>
      </c>
      <c r="D522" t="s">
        <v>8</v>
      </c>
      <c r="E522" s="4">
        <v>6.5</v>
      </c>
      <c r="F522" t="str">
        <f t="shared" si="32"/>
        <v>Don't Watch</v>
      </c>
      <c r="G522" t="str">
        <f t="shared" si="33"/>
        <v>Avg</v>
      </c>
      <c r="H522" t="str" cm="1">
        <f t="array" ref="H522">_xlfn.IFS(E522&gt;8,"Best",E522=7,"Good",E522&gt;7,"Good",E522&lt;7,"Avg",E522&lt;6,"Below Avg")</f>
        <v>Avg</v>
      </c>
      <c r="I522">
        <v>104</v>
      </c>
      <c r="K522" s="3">
        <v>26045862</v>
      </c>
      <c r="L522" s="3">
        <v>20363908</v>
      </c>
      <c r="M522" s="3">
        <f t="shared" si="34"/>
        <v>5681954</v>
      </c>
      <c r="O522" t="s">
        <v>1411</v>
      </c>
      <c r="P522" t="s">
        <v>11</v>
      </c>
      <c r="Q522" t="str">
        <f t="shared" si="35"/>
        <v>Kid</v>
      </c>
    </row>
    <row r="523" spans="1:17" x14ac:dyDescent="0.3">
      <c r="A523" t="s">
        <v>1412</v>
      </c>
      <c r="B523">
        <v>2025</v>
      </c>
      <c r="C523" s="5" t="s">
        <v>693</v>
      </c>
      <c r="D523" t="s">
        <v>19</v>
      </c>
      <c r="E523" s="4">
        <v>7.4</v>
      </c>
      <c r="F523" t="str">
        <f t="shared" si="32"/>
        <v>Watch</v>
      </c>
      <c r="G523" t="str">
        <f t="shared" si="33"/>
        <v>Good</v>
      </c>
      <c r="H523" t="str" cm="1">
        <f t="array" ref="H523">_xlfn.IFS(E523&gt;8,"Best",E523=7,"Good",E523&gt;7,"Good",E523&lt;7,"Avg",E523&lt;6,"Below Avg")</f>
        <v>Good</v>
      </c>
      <c r="I523">
        <v>116</v>
      </c>
      <c r="K523" s="3">
        <v>33335133</v>
      </c>
      <c r="L523" s="3">
        <v>25223422</v>
      </c>
      <c r="M523" s="3">
        <f t="shared" si="34"/>
        <v>8111711</v>
      </c>
      <c r="N523" t="s">
        <v>1413</v>
      </c>
      <c r="O523" t="s">
        <v>1414</v>
      </c>
      <c r="P523" t="s">
        <v>11</v>
      </c>
      <c r="Q523" t="str">
        <f t="shared" si="35"/>
        <v>Kid</v>
      </c>
    </row>
    <row r="524" spans="1:17" x14ac:dyDescent="0.3">
      <c r="A524" t="s">
        <v>1415</v>
      </c>
      <c r="B524">
        <v>2025</v>
      </c>
      <c r="C524" s="5" t="s">
        <v>693</v>
      </c>
      <c r="D524" t="s">
        <v>8</v>
      </c>
      <c r="E524" s="4">
        <v>7</v>
      </c>
      <c r="F524" t="str">
        <f t="shared" si="32"/>
        <v>Watch</v>
      </c>
      <c r="G524" t="str">
        <f t="shared" si="33"/>
        <v>Avg</v>
      </c>
      <c r="H524" t="str" cm="1">
        <f t="array" ref="H524">_xlfn.IFS(E524&gt;8,"Best",E524=7,"Good",E524&gt;7,"Good",E524&lt;7,"Avg",E524&lt;6,"Below Avg")</f>
        <v>Good</v>
      </c>
      <c r="I524">
        <v>115</v>
      </c>
      <c r="K524" s="3">
        <v>29582175</v>
      </c>
      <c r="L524" s="3">
        <v>22721450</v>
      </c>
      <c r="M524" s="3">
        <f t="shared" si="34"/>
        <v>6860725</v>
      </c>
      <c r="O524" t="s">
        <v>1416</v>
      </c>
      <c r="P524" t="s">
        <v>11</v>
      </c>
      <c r="Q524" t="str">
        <f t="shared" si="35"/>
        <v>Kid</v>
      </c>
    </row>
    <row r="525" spans="1:17" x14ac:dyDescent="0.3">
      <c r="A525" t="s">
        <v>1417</v>
      </c>
      <c r="B525">
        <v>2025</v>
      </c>
      <c r="C525" s="5" t="s">
        <v>693</v>
      </c>
      <c r="D525" t="s">
        <v>39</v>
      </c>
      <c r="E525" s="4">
        <v>7.2</v>
      </c>
      <c r="F525" t="str">
        <f t="shared" si="32"/>
        <v>Watch</v>
      </c>
      <c r="G525" t="str">
        <f t="shared" si="33"/>
        <v>Good</v>
      </c>
      <c r="H525" t="str" cm="1">
        <f t="array" ref="H525">_xlfn.IFS(E525&gt;8,"Best",E525=7,"Good",E525&gt;7,"Good",E525&lt;7,"Avg",E525&lt;6,"Below Avg")</f>
        <v>Good</v>
      </c>
      <c r="I525">
        <v>90</v>
      </c>
      <c r="K525" s="3">
        <v>30248775</v>
      </c>
      <c r="L525" s="3">
        <v>23165850</v>
      </c>
      <c r="M525" s="3">
        <f t="shared" si="34"/>
        <v>7082925</v>
      </c>
      <c r="N525" t="s">
        <v>1418</v>
      </c>
      <c r="O525" t="s">
        <v>67</v>
      </c>
      <c r="P525" t="s">
        <v>11</v>
      </c>
      <c r="Q525" t="str">
        <f t="shared" si="35"/>
        <v>Kid</v>
      </c>
    </row>
    <row r="526" spans="1:17" x14ac:dyDescent="0.3">
      <c r="A526" t="s">
        <v>1419</v>
      </c>
      <c r="B526">
        <v>2025</v>
      </c>
      <c r="C526" s="5" t="s">
        <v>693</v>
      </c>
      <c r="D526" t="s">
        <v>39</v>
      </c>
      <c r="E526" s="4">
        <v>8.6</v>
      </c>
      <c r="F526" t="str">
        <f t="shared" si="32"/>
        <v>Watch</v>
      </c>
      <c r="G526" t="str">
        <f t="shared" si="33"/>
        <v>Best</v>
      </c>
      <c r="H526" t="str" cm="1">
        <f t="array" ref="H526">_xlfn.IFS(E526&gt;8,"Best",E526=7,"Good",E526&gt;7,"Good",E526&lt;7,"Avg",E526&lt;6,"Below Avg")</f>
        <v>Best</v>
      </c>
      <c r="I526">
        <v>155</v>
      </c>
      <c r="K526" s="3">
        <v>27215745</v>
      </c>
      <c r="L526" s="3">
        <v>21143830</v>
      </c>
      <c r="M526" s="3">
        <f t="shared" si="34"/>
        <v>6071915</v>
      </c>
      <c r="O526" t="s">
        <v>396</v>
      </c>
      <c r="P526" t="s">
        <v>11</v>
      </c>
      <c r="Q526" t="str">
        <f t="shared" si="35"/>
        <v>Kid</v>
      </c>
    </row>
    <row r="527" spans="1:17" x14ac:dyDescent="0.3">
      <c r="A527" t="s">
        <v>1420</v>
      </c>
      <c r="B527">
        <v>2025</v>
      </c>
      <c r="C527" s="5" t="s">
        <v>693</v>
      </c>
      <c r="D527" t="s">
        <v>65</v>
      </c>
      <c r="E527" s="4">
        <v>6.9</v>
      </c>
      <c r="F527" t="str">
        <f t="shared" si="32"/>
        <v>Watch</v>
      </c>
      <c r="G527" t="str">
        <f t="shared" si="33"/>
        <v>Avg</v>
      </c>
      <c r="H527" t="str" cm="1">
        <f t="array" ref="H527">_xlfn.IFS(E527&gt;8,"Best",E527=7,"Good",E527&gt;7,"Good",E527&lt;7,"Avg",E527&lt;6,"Below Avg")</f>
        <v>Avg</v>
      </c>
      <c r="I527">
        <v>117</v>
      </c>
      <c r="K527" s="3">
        <v>31338666</v>
      </c>
      <c r="L527" s="3">
        <v>23892444</v>
      </c>
      <c r="M527" s="3">
        <f t="shared" si="34"/>
        <v>7446222</v>
      </c>
      <c r="N527" t="s">
        <v>1421</v>
      </c>
      <c r="O527" t="s">
        <v>336</v>
      </c>
      <c r="P527" t="s">
        <v>11</v>
      </c>
      <c r="Q527" t="str">
        <f t="shared" si="35"/>
        <v>Kid</v>
      </c>
    </row>
    <row r="528" spans="1:17" x14ac:dyDescent="0.3">
      <c r="A528" t="s">
        <v>1422</v>
      </c>
      <c r="B528">
        <v>2025</v>
      </c>
      <c r="C528" s="5" t="s">
        <v>693</v>
      </c>
      <c r="D528" t="s">
        <v>39</v>
      </c>
      <c r="E528" s="4">
        <v>8.9</v>
      </c>
      <c r="F528" t="str">
        <f t="shared" si="32"/>
        <v>Watch</v>
      </c>
      <c r="G528" t="str">
        <f t="shared" si="33"/>
        <v>Best</v>
      </c>
      <c r="H528" t="str" cm="1">
        <f t="array" ref="H528">_xlfn.IFS(E528&gt;8,"Best",E528=7,"Good",E528&gt;7,"Good",E528&lt;7,"Avg",E528&lt;6,"Below Avg")</f>
        <v>Best</v>
      </c>
      <c r="I528">
        <v>128</v>
      </c>
      <c r="K528" s="3">
        <v>31625304</v>
      </c>
      <c r="L528" s="3">
        <v>24083536</v>
      </c>
      <c r="M528" s="3">
        <f t="shared" si="34"/>
        <v>7541768</v>
      </c>
      <c r="N528" t="s">
        <v>1423</v>
      </c>
      <c r="O528" t="s">
        <v>1019</v>
      </c>
      <c r="P528" t="s">
        <v>11</v>
      </c>
      <c r="Q528" t="str">
        <f t="shared" si="35"/>
        <v>Kid</v>
      </c>
    </row>
    <row r="529" spans="1:17" x14ac:dyDescent="0.3">
      <c r="A529" t="s">
        <v>1424</v>
      </c>
      <c r="B529">
        <v>2025</v>
      </c>
      <c r="C529" s="5" t="s">
        <v>693</v>
      </c>
      <c r="D529" t="s">
        <v>127</v>
      </c>
      <c r="E529" s="4">
        <v>6.8</v>
      </c>
      <c r="F529" t="str">
        <f t="shared" si="32"/>
        <v>Watch</v>
      </c>
      <c r="G529" t="str">
        <f t="shared" si="33"/>
        <v>Avg</v>
      </c>
      <c r="H529" t="str" cm="1">
        <f t="array" ref="H529">_xlfn.IFS(E529&gt;8,"Best",E529=7,"Good",E529&gt;7,"Good",E529&lt;7,"Avg",E529&lt;6,"Below Avg")</f>
        <v>Avg</v>
      </c>
      <c r="I529">
        <v>164</v>
      </c>
      <c r="K529" s="3">
        <v>26495817</v>
      </c>
      <c r="L529" s="3">
        <v>20663878</v>
      </c>
      <c r="M529" s="3">
        <f t="shared" si="34"/>
        <v>5831939</v>
      </c>
      <c r="O529" t="s">
        <v>396</v>
      </c>
      <c r="P529" t="s">
        <v>11</v>
      </c>
      <c r="Q529" t="str">
        <f t="shared" si="35"/>
        <v>Kid</v>
      </c>
    </row>
    <row r="530" spans="1:17" x14ac:dyDescent="0.3">
      <c r="A530" t="s">
        <v>1426</v>
      </c>
      <c r="B530">
        <v>2025</v>
      </c>
      <c r="C530" s="5" t="s">
        <v>693</v>
      </c>
      <c r="D530" t="s">
        <v>19</v>
      </c>
      <c r="E530" s="4">
        <v>7.4</v>
      </c>
      <c r="F530" t="str">
        <f t="shared" si="32"/>
        <v>Watch</v>
      </c>
      <c r="G530" t="str">
        <f t="shared" si="33"/>
        <v>Good</v>
      </c>
      <c r="H530" t="str" cm="1">
        <f t="array" ref="H530">_xlfn.IFS(E530&gt;8,"Best",E530=7,"Good",E530&gt;7,"Good",E530&lt;7,"Avg",E530&lt;6,"Below Avg")</f>
        <v>Good</v>
      </c>
      <c r="I530">
        <v>146</v>
      </c>
      <c r="K530" s="3">
        <v>28935573</v>
      </c>
      <c r="L530" s="3">
        <v>22290382</v>
      </c>
      <c r="M530" s="3">
        <f t="shared" si="34"/>
        <v>6645191</v>
      </c>
      <c r="O530" t="s">
        <v>1223</v>
      </c>
      <c r="P530" t="s">
        <v>11</v>
      </c>
      <c r="Q530" t="str">
        <f t="shared" si="35"/>
        <v>Kid</v>
      </c>
    </row>
    <row r="531" spans="1:17" x14ac:dyDescent="0.3">
      <c r="A531" t="s">
        <v>1427</v>
      </c>
      <c r="B531">
        <v>2025</v>
      </c>
      <c r="C531" s="5" t="s">
        <v>693</v>
      </c>
      <c r="D531" t="s">
        <v>39</v>
      </c>
      <c r="E531" s="4">
        <v>6</v>
      </c>
      <c r="F531" t="str">
        <f t="shared" si="32"/>
        <v>Don't Watch</v>
      </c>
      <c r="G531" t="str">
        <f t="shared" si="33"/>
        <v>Avg</v>
      </c>
      <c r="H531" t="str" cm="1">
        <f t="array" ref="H531">_xlfn.IFS(E531&gt;8,"Best",E531=7,"Good",E531&gt;7,"Good",E531&lt;7,"Avg",E531&lt;6,"Below Avg")</f>
        <v>Avg</v>
      </c>
      <c r="I531">
        <v>105</v>
      </c>
      <c r="K531" s="3">
        <v>29548845</v>
      </c>
      <c r="L531" s="3">
        <v>22699230</v>
      </c>
      <c r="M531" s="3">
        <f t="shared" si="34"/>
        <v>6849615</v>
      </c>
      <c r="N531" t="s">
        <v>202</v>
      </c>
      <c r="O531" t="s">
        <v>887</v>
      </c>
      <c r="P531" t="s">
        <v>11</v>
      </c>
      <c r="Q531" t="str">
        <f t="shared" si="35"/>
        <v>Kid</v>
      </c>
    </row>
    <row r="532" spans="1:17" x14ac:dyDescent="0.3">
      <c r="A532" t="s">
        <v>1428</v>
      </c>
      <c r="B532">
        <v>2025</v>
      </c>
      <c r="C532" s="5" t="s">
        <v>693</v>
      </c>
      <c r="D532" t="s">
        <v>35</v>
      </c>
      <c r="E532" s="4">
        <v>6.3</v>
      </c>
      <c r="F532" t="str">
        <f t="shared" si="32"/>
        <v>Don't Watch</v>
      </c>
      <c r="G532" t="str">
        <f t="shared" si="33"/>
        <v>Avg</v>
      </c>
      <c r="H532" t="str" cm="1">
        <f t="array" ref="H532">_xlfn.IFS(E532&gt;8,"Best",E532=7,"Good",E532&gt;7,"Good",E532&lt;7,"Avg",E532&lt;6,"Below Avg")</f>
        <v>Avg</v>
      </c>
      <c r="I532">
        <v>135</v>
      </c>
      <c r="K532" s="3">
        <v>28898910</v>
      </c>
      <c r="L532" s="3">
        <v>22265940</v>
      </c>
      <c r="M532" s="3">
        <f t="shared" si="34"/>
        <v>6632970</v>
      </c>
      <c r="N532" t="s">
        <v>1429</v>
      </c>
      <c r="O532" t="s">
        <v>497</v>
      </c>
      <c r="P532" t="s">
        <v>11</v>
      </c>
      <c r="Q532" t="str">
        <f t="shared" si="35"/>
        <v>Kid</v>
      </c>
    </row>
    <row r="533" spans="1:17" x14ac:dyDescent="0.3">
      <c r="A533" t="s">
        <v>1433</v>
      </c>
      <c r="B533">
        <v>2025</v>
      </c>
      <c r="C533" s="5" t="s">
        <v>693</v>
      </c>
      <c r="D533" t="s">
        <v>85</v>
      </c>
      <c r="E533" s="4">
        <v>8.6</v>
      </c>
      <c r="F533" t="str">
        <f t="shared" si="32"/>
        <v>Watch</v>
      </c>
      <c r="G533" t="str">
        <f t="shared" si="33"/>
        <v>Best</v>
      </c>
      <c r="H533" t="str" cm="1">
        <f t="array" ref="H533">_xlfn.IFS(E533&gt;8,"Best",E533=7,"Good",E533&gt;7,"Good",E533&lt;7,"Avg",E533&lt;6,"Below Avg")</f>
        <v>Best</v>
      </c>
      <c r="I533">
        <v>128</v>
      </c>
      <c r="K533" s="3">
        <v>41459465</v>
      </c>
      <c r="L533" s="3">
        <v>11656342</v>
      </c>
      <c r="M533" s="3">
        <f t="shared" si="34"/>
        <v>29803123</v>
      </c>
      <c r="O533" t="s">
        <v>1434</v>
      </c>
      <c r="P533" t="s">
        <v>4</v>
      </c>
      <c r="Q533" t="str">
        <f t="shared" si="35"/>
        <v>Adult</v>
      </c>
    </row>
    <row r="534" spans="1:17" x14ac:dyDescent="0.3">
      <c r="A534" t="s">
        <v>1437</v>
      </c>
      <c r="B534">
        <v>2025</v>
      </c>
      <c r="C534" s="5" t="s">
        <v>693</v>
      </c>
      <c r="D534" t="s">
        <v>8</v>
      </c>
      <c r="E534" s="4">
        <v>8.3000000000000007</v>
      </c>
      <c r="F534" t="str">
        <f t="shared" si="32"/>
        <v>Watch</v>
      </c>
      <c r="G534" t="str">
        <f t="shared" si="33"/>
        <v>Good</v>
      </c>
      <c r="H534" t="str" cm="1">
        <f t="array" ref="H534">_xlfn.IFS(E534&gt;8,"Best",E534=7,"Good",E534&gt;7,"Good",E534&lt;7,"Avg",E534&lt;6,"Below Avg")</f>
        <v>Best</v>
      </c>
      <c r="I534">
        <v>95</v>
      </c>
      <c r="K534" s="3">
        <v>26765790</v>
      </c>
      <c r="L534" s="3">
        <v>20843860</v>
      </c>
      <c r="M534" s="3">
        <f t="shared" si="34"/>
        <v>5921930</v>
      </c>
      <c r="O534" t="s">
        <v>1438</v>
      </c>
      <c r="P534" t="s">
        <v>11</v>
      </c>
      <c r="Q534" t="str">
        <f t="shared" si="35"/>
        <v>Kid</v>
      </c>
    </row>
    <row r="535" spans="1:17" x14ac:dyDescent="0.3">
      <c r="A535" t="s">
        <v>1439</v>
      </c>
      <c r="B535">
        <v>2025</v>
      </c>
      <c r="C535" s="5" t="s">
        <v>693</v>
      </c>
      <c r="D535" t="s">
        <v>61</v>
      </c>
      <c r="E535" s="4">
        <v>6.6</v>
      </c>
      <c r="F535" t="str">
        <f t="shared" si="32"/>
        <v>Watch</v>
      </c>
      <c r="G535" t="str">
        <f t="shared" si="33"/>
        <v>Avg</v>
      </c>
      <c r="H535" t="str" cm="1">
        <f t="array" ref="H535">_xlfn.IFS(E535&gt;8,"Best",E535=7,"Good",E535&gt;7,"Good",E535&lt;7,"Avg",E535&lt;6,"Below Avg")</f>
        <v>Avg</v>
      </c>
      <c r="I535">
        <v>117</v>
      </c>
      <c r="K535" s="3">
        <v>27589041</v>
      </c>
      <c r="L535" s="3">
        <v>21392694</v>
      </c>
      <c r="M535" s="3">
        <f t="shared" si="34"/>
        <v>6196347</v>
      </c>
      <c r="N535" t="s">
        <v>1440</v>
      </c>
      <c r="O535" t="s">
        <v>1441</v>
      </c>
      <c r="P535" t="s">
        <v>11</v>
      </c>
      <c r="Q535" t="str">
        <f t="shared" si="35"/>
        <v>Kid</v>
      </c>
    </row>
    <row r="536" spans="1:17" x14ac:dyDescent="0.3">
      <c r="A536" t="s">
        <v>1442</v>
      </c>
      <c r="B536">
        <v>2025</v>
      </c>
      <c r="C536" s="5" t="s">
        <v>693</v>
      </c>
      <c r="D536" t="s">
        <v>65</v>
      </c>
      <c r="E536" s="4">
        <v>7.8</v>
      </c>
      <c r="F536" t="str">
        <f t="shared" si="32"/>
        <v>Watch</v>
      </c>
      <c r="G536" t="str">
        <f t="shared" si="33"/>
        <v>Good</v>
      </c>
      <c r="H536" t="str" cm="1">
        <f t="array" ref="H536">_xlfn.IFS(E536&gt;8,"Best",E536=7,"Good",E536&gt;7,"Good",E536&lt;7,"Avg",E536&lt;6,"Below Avg")</f>
        <v>Good</v>
      </c>
      <c r="I536">
        <v>147</v>
      </c>
      <c r="K536" s="3">
        <v>29938806</v>
      </c>
      <c r="L536" s="3">
        <v>22959204</v>
      </c>
      <c r="M536" s="3">
        <f t="shared" si="34"/>
        <v>6979602</v>
      </c>
      <c r="N536" t="s">
        <v>1443</v>
      </c>
      <c r="O536" t="s">
        <v>120</v>
      </c>
      <c r="P536" t="s">
        <v>11</v>
      </c>
      <c r="Q536" t="str">
        <f t="shared" si="35"/>
        <v>Kid</v>
      </c>
    </row>
    <row r="537" spans="1:17" x14ac:dyDescent="0.3">
      <c r="A537" t="s">
        <v>1446</v>
      </c>
      <c r="B537">
        <v>2025</v>
      </c>
      <c r="C537" s="5" t="s">
        <v>693</v>
      </c>
      <c r="D537" t="s">
        <v>65</v>
      </c>
      <c r="E537" s="4">
        <v>7.5</v>
      </c>
      <c r="F537" t="str">
        <f t="shared" si="32"/>
        <v>Watch</v>
      </c>
      <c r="G537" t="str">
        <f t="shared" si="33"/>
        <v>Good</v>
      </c>
      <c r="H537" t="str" cm="1">
        <f t="array" ref="H537">_xlfn.IFS(E537&gt;8,"Best",E537=7,"Good",E537&gt;7,"Good",E537&lt;7,"Avg",E537&lt;6,"Below Avg")</f>
        <v>Good</v>
      </c>
      <c r="I537">
        <v>126</v>
      </c>
      <c r="K537" s="3">
        <v>30368763</v>
      </c>
      <c r="L537" s="3">
        <v>23245842</v>
      </c>
      <c r="M537" s="3">
        <f t="shared" si="34"/>
        <v>7122921</v>
      </c>
      <c r="N537" t="s">
        <v>1447</v>
      </c>
      <c r="O537" t="s">
        <v>396</v>
      </c>
      <c r="P537" t="s">
        <v>11</v>
      </c>
      <c r="Q537" t="str">
        <f t="shared" si="35"/>
        <v>Kid</v>
      </c>
    </row>
    <row r="538" spans="1:17" x14ac:dyDescent="0.3">
      <c r="A538" t="s">
        <v>1307</v>
      </c>
      <c r="B538">
        <v>2025</v>
      </c>
      <c r="C538" s="5" t="s">
        <v>640</v>
      </c>
      <c r="D538" t="s">
        <v>39</v>
      </c>
      <c r="E538" s="4">
        <v>7.7</v>
      </c>
      <c r="F538" t="str">
        <f t="shared" si="32"/>
        <v>Watch</v>
      </c>
      <c r="G538" t="str">
        <f t="shared" si="33"/>
        <v>Good</v>
      </c>
      <c r="H538" t="str" cm="1">
        <f t="array" ref="H538">_xlfn.IFS(E538&gt;8,"Best",E538=7,"Good",E538&gt;7,"Good",E538&lt;7,"Avg",E538&lt;6,"Below Avg")</f>
        <v>Good</v>
      </c>
      <c r="I538">
        <v>152</v>
      </c>
      <c r="K538" s="3">
        <v>27955671</v>
      </c>
      <c r="L538" s="3">
        <v>21637114</v>
      </c>
      <c r="M538" s="3">
        <f t="shared" si="34"/>
        <v>6318557</v>
      </c>
      <c r="O538" t="s">
        <v>1308</v>
      </c>
      <c r="P538" t="s">
        <v>11</v>
      </c>
      <c r="Q538" t="str">
        <f t="shared" si="35"/>
        <v>Kid</v>
      </c>
    </row>
    <row r="539" spans="1:17" x14ac:dyDescent="0.3">
      <c r="A539" t="s">
        <v>1319</v>
      </c>
      <c r="B539">
        <v>2025</v>
      </c>
      <c r="C539" s="5" t="s">
        <v>640</v>
      </c>
      <c r="D539" t="s">
        <v>8</v>
      </c>
      <c r="E539" s="4">
        <v>8</v>
      </c>
      <c r="F539" t="str">
        <f t="shared" si="32"/>
        <v>Watch</v>
      </c>
      <c r="G539" t="str">
        <f t="shared" si="33"/>
        <v>Good</v>
      </c>
      <c r="H539" t="str" cm="1">
        <f t="array" ref="H539">_xlfn.IFS(E539&gt;8,"Best",E539=7,"Good",E539&gt;7,"Good",E539&lt;7,"Avg",E539&lt;6,"Below Avg")</f>
        <v>Good</v>
      </c>
      <c r="I539">
        <v>128</v>
      </c>
      <c r="K539" s="3">
        <v>31375329</v>
      </c>
      <c r="L539" s="3">
        <v>23916886</v>
      </c>
      <c r="M539" s="3">
        <f t="shared" si="34"/>
        <v>7458443</v>
      </c>
      <c r="O539" t="s">
        <v>107</v>
      </c>
      <c r="P539" t="s">
        <v>11</v>
      </c>
      <c r="Q539" t="str">
        <f t="shared" si="35"/>
        <v>Kid</v>
      </c>
    </row>
    <row r="540" spans="1:17" x14ac:dyDescent="0.3">
      <c r="A540" t="s">
        <v>1320</v>
      </c>
      <c r="B540">
        <v>2025</v>
      </c>
      <c r="C540" s="5" t="s">
        <v>640</v>
      </c>
      <c r="D540" t="s">
        <v>232</v>
      </c>
      <c r="E540" s="4">
        <v>8.5</v>
      </c>
      <c r="F540" t="str">
        <f t="shared" si="32"/>
        <v>Watch</v>
      </c>
      <c r="G540" t="str">
        <f t="shared" si="33"/>
        <v>Good</v>
      </c>
      <c r="H540" t="str" cm="1">
        <f t="array" ref="H540">_xlfn.IFS(E540&gt;8,"Best",E540=7,"Good",E540&gt;7,"Good",E540&lt;7,"Avg",E540&lt;6,"Below Avg")</f>
        <v>Best</v>
      </c>
      <c r="I540">
        <v>94</v>
      </c>
      <c r="K540" s="3">
        <v>27762357</v>
      </c>
      <c r="L540" s="3">
        <v>21508238</v>
      </c>
      <c r="M540" s="3">
        <f t="shared" si="34"/>
        <v>6254119</v>
      </c>
      <c r="N540" t="s">
        <v>368</v>
      </c>
      <c r="O540" t="s">
        <v>805</v>
      </c>
      <c r="P540" t="s">
        <v>11</v>
      </c>
      <c r="Q540" t="str">
        <f t="shared" si="35"/>
        <v>Kid</v>
      </c>
    </row>
    <row r="541" spans="1:17" x14ac:dyDescent="0.3">
      <c r="A541" t="s">
        <v>1331</v>
      </c>
      <c r="B541">
        <v>2025</v>
      </c>
      <c r="C541" s="5" t="s">
        <v>640</v>
      </c>
      <c r="D541" t="s">
        <v>2</v>
      </c>
      <c r="E541" s="4">
        <v>8</v>
      </c>
      <c r="F541" t="str">
        <f t="shared" si="32"/>
        <v>Watch</v>
      </c>
      <c r="G541" t="str">
        <f t="shared" si="33"/>
        <v>Good</v>
      </c>
      <c r="H541" t="str" cm="1">
        <f t="array" ref="H541">_xlfn.IFS(E541&gt;8,"Best",E541=7,"Good",E541&gt;7,"Good",E541&lt;7,"Avg",E541&lt;6,"Below Avg")</f>
        <v>Good</v>
      </c>
      <c r="I541">
        <v>137</v>
      </c>
      <c r="K541" s="3">
        <v>42342710</v>
      </c>
      <c r="L541" s="3">
        <v>11852548</v>
      </c>
      <c r="M541" s="3">
        <f t="shared" si="34"/>
        <v>30490162</v>
      </c>
      <c r="O541" t="s">
        <v>824</v>
      </c>
      <c r="P541" t="s">
        <v>4</v>
      </c>
      <c r="Q541" t="str">
        <f t="shared" si="35"/>
        <v>Adult</v>
      </c>
    </row>
    <row r="542" spans="1:17" x14ac:dyDescent="0.3">
      <c r="A542" t="s">
        <v>1342</v>
      </c>
      <c r="B542">
        <v>2025</v>
      </c>
      <c r="C542" s="5" t="s">
        <v>640</v>
      </c>
      <c r="D542" t="s">
        <v>39</v>
      </c>
      <c r="E542" s="4">
        <v>8.6</v>
      </c>
      <c r="F542" t="str">
        <f t="shared" si="32"/>
        <v>Watch</v>
      </c>
      <c r="G542" t="str">
        <f t="shared" si="33"/>
        <v>Best</v>
      </c>
      <c r="H542" t="str" cm="1">
        <f t="array" ref="H542">_xlfn.IFS(E542&gt;8,"Best",E542=7,"Good",E542&gt;7,"Good",E542&lt;7,"Avg",E542&lt;6,"Below Avg")</f>
        <v>Best</v>
      </c>
      <c r="I542">
        <v>140</v>
      </c>
      <c r="K542" s="3">
        <v>29415525</v>
      </c>
      <c r="L542" s="3">
        <v>22610350</v>
      </c>
      <c r="M542" s="3">
        <f t="shared" si="34"/>
        <v>6805175</v>
      </c>
      <c r="N542" t="s">
        <v>1343</v>
      </c>
      <c r="O542" t="s">
        <v>1344</v>
      </c>
      <c r="P542" t="s">
        <v>11</v>
      </c>
      <c r="Q542" t="str">
        <f t="shared" si="35"/>
        <v>Kid</v>
      </c>
    </row>
    <row r="543" spans="1:17" x14ac:dyDescent="0.3">
      <c r="A543" t="s">
        <v>1356</v>
      </c>
      <c r="B543">
        <v>2025</v>
      </c>
      <c r="C543" s="5" t="s">
        <v>640</v>
      </c>
      <c r="D543" t="s">
        <v>27</v>
      </c>
      <c r="E543" s="4">
        <v>8.6999999999999993</v>
      </c>
      <c r="F543" t="str">
        <f t="shared" si="32"/>
        <v>Watch</v>
      </c>
      <c r="G543" t="str">
        <f t="shared" si="33"/>
        <v>Best</v>
      </c>
      <c r="H543" t="str" cm="1">
        <f t="array" ref="H543">_xlfn.IFS(E543&gt;8,"Best",E543=7,"Good",E543&gt;7,"Good",E543&lt;7,"Avg",E543&lt;6,"Below Avg")</f>
        <v>Best</v>
      </c>
      <c r="I543">
        <v>135</v>
      </c>
      <c r="K543" s="3">
        <v>28648935</v>
      </c>
      <c r="L543" s="3">
        <v>22099290</v>
      </c>
      <c r="M543" s="3">
        <f t="shared" si="34"/>
        <v>6549645</v>
      </c>
      <c r="N543" t="s">
        <v>1357</v>
      </c>
      <c r="O543" t="s">
        <v>1358</v>
      </c>
      <c r="P543" t="s">
        <v>11</v>
      </c>
      <c r="Q543" t="str">
        <f t="shared" si="35"/>
        <v>Kid</v>
      </c>
    </row>
    <row r="544" spans="1:17" x14ac:dyDescent="0.3">
      <c r="A544" t="s">
        <v>1359</v>
      </c>
      <c r="B544">
        <v>2025</v>
      </c>
      <c r="C544" s="5" t="s">
        <v>640</v>
      </c>
      <c r="D544" t="s">
        <v>61</v>
      </c>
      <c r="E544" s="4">
        <v>7.9</v>
      </c>
      <c r="F544" t="str">
        <f t="shared" si="32"/>
        <v>Watch</v>
      </c>
      <c r="G544" t="str">
        <f t="shared" si="33"/>
        <v>Good</v>
      </c>
      <c r="H544" t="str" cm="1">
        <f t="array" ref="H544">_xlfn.IFS(E544&gt;8,"Best",E544=7,"Good",E544&gt;7,"Good",E544&lt;7,"Avg",E544&lt;6,"Below Avg")</f>
        <v>Good</v>
      </c>
      <c r="I544">
        <v>97</v>
      </c>
      <c r="K544" s="3">
        <v>27522381</v>
      </c>
      <c r="L544" s="3">
        <v>21348254</v>
      </c>
      <c r="M544" s="3">
        <f t="shared" si="34"/>
        <v>6174127</v>
      </c>
      <c r="O544" t="s">
        <v>1360</v>
      </c>
      <c r="P544" t="s">
        <v>11</v>
      </c>
      <c r="Q544" t="str">
        <f t="shared" si="35"/>
        <v>Kid</v>
      </c>
    </row>
    <row r="545" spans="1:17" x14ac:dyDescent="0.3">
      <c r="A545" t="s">
        <v>1361</v>
      </c>
      <c r="B545">
        <v>2025</v>
      </c>
      <c r="C545" s="5" t="s">
        <v>640</v>
      </c>
      <c r="D545" t="s">
        <v>85</v>
      </c>
      <c r="E545" s="4">
        <v>6.4</v>
      </c>
      <c r="F545" t="str">
        <f t="shared" si="32"/>
        <v>Don't Watch</v>
      </c>
      <c r="G545" t="str">
        <f t="shared" si="33"/>
        <v>Avg</v>
      </c>
      <c r="H545" t="str" cm="1">
        <f t="array" ref="H545">_xlfn.IFS(E545&gt;8,"Best",E545=7,"Good",E545&gt;7,"Good",E545&lt;7,"Avg",E545&lt;6,"Below Avg")</f>
        <v>Avg</v>
      </c>
      <c r="I545">
        <v>118</v>
      </c>
      <c r="K545" s="3">
        <v>43903665</v>
      </c>
      <c r="L545" s="3">
        <v>12199302</v>
      </c>
      <c r="M545" s="3">
        <f t="shared" si="34"/>
        <v>31704363</v>
      </c>
      <c r="N545" t="s">
        <v>1337</v>
      </c>
      <c r="O545" t="s">
        <v>1362</v>
      </c>
      <c r="P545" t="s">
        <v>4</v>
      </c>
      <c r="Q545" t="str">
        <f t="shared" si="35"/>
        <v>Adult</v>
      </c>
    </row>
    <row r="546" spans="1:17" x14ac:dyDescent="0.3">
      <c r="A546" t="s">
        <v>1309</v>
      </c>
      <c r="B546">
        <v>2025</v>
      </c>
      <c r="C546" s="5" t="s">
        <v>640</v>
      </c>
      <c r="D546" t="s">
        <v>8</v>
      </c>
      <c r="E546" s="4">
        <v>8.6</v>
      </c>
      <c r="F546" t="str">
        <f t="shared" si="32"/>
        <v>Watch</v>
      </c>
      <c r="G546" t="str">
        <f t="shared" si="33"/>
        <v>Best</v>
      </c>
      <c r="H546" t="str" cm="1">
        <f t="array" ref="H546">_xlfn.IFS(E546&gt;8,"Best",E546=7,"Good",E546&gt;7,"Good",E546&lt;7,"Avg",E546&lt;6,"Below Avg")</f>
        <v>Best</v>
      </c>
      <c r="I546">
        <v>122</v>
      </c>
      <c r="K546" s="3">
        <v>27105756</v>
      </c>
      <c r="L546" s="3">
        <v>21070504</v>
      </c>
      <c r="M546" s="3">
        <f t="shared" si="34"/>
        <v>6035252</v>
      </c>
      <c r="O546" t="s">
        <v>1310</v>
      </c>
      <c r="P546" t="s">
        <v>11</v>
      </c>
      <c r="Q546" t="str">
        <f t="shared" si="35"/>
        <v>Kid</v>
      </c>
    </row>
    <row r="547" spans="1:17" x14ac:dyDescent="0.3">
      <c r="A547" t="s">
        <v>1311</v>
      </c>
      <c r="B547">
        <v>2025</v>
      </c>
      <c r="C547" s="5" t="s">
        <v>640</v>
      </c>
      <c r="D547" t="s">
        <v>8</v>
      </c>
      <c r="E547" s="4">
        <v>8.1</v>
      </c>
      <c r="F547" t="str">
        <f t="shared" si="32"/>
        <v>Watch</v>
      </c>
      <c r="G547" t="str">
        <f t="shared" si="33"/>
        <v>Good</v>
      </c>
      <c r="H547" t="str" cm="1">
        <f t="array" ref="H547">_xlfn.IFS(E547&gt;8,"Best",E547=7,"Good",E547&gt;7,"Good",E547&lt;7,"Avg",E547&lt;6,"Below Avg")</f>
        <v>Best</v>
      </c>
      <c r="I547">
        <v>144</v>
      </c>
      <c r="K547" s="3">
        <v>26429157</v>
      </c>
      <c r="L547" s="3">
        <v>20619438</v>
      </c>
      <c r="M547" s="3">
        <f t="shared" si="34"/>
        <v>5809719</v>
      </c>
      <c r="N547" t="s">
        <v>1312</v>
      </c>
      <c r="O547" t="s">
        <v>1313</v>
      </c>
      <c r="P547" t="s">
        <v>11</v>
      </c>
      <c r="Q547" t="str">
        <f t="shared" si="35"/>
        <v>Kid</v>
      </c>
    </row>
    <row r="548" spans="1:17" x14ac:dyDescent="0.3">
      <c r="A548" t="s">
        <v>1314</v>
      </c>
      <c r="B548">
        <v>2025</v>
      </c>
      <c r="C548" s="5" t="s">
        <v>640</v>
      </c>
      <c r="D548" t="s">
        <v>8</v>
      </c>
      <c r="E548" s="4">
        <v>8.1</v>
      </c>
      <c r="F548" t="str">
        <f t="shared" si="32"/>
        <v>Watch</v>
      </c>
      <c r="G548" t="str">
        <f t="shared" si="33"/>
        <v>Good</v>
      </c>
      <c r="H548" t="str" cm="1">
        <f t="array" ref="H548">_xlfn.IFS(E548&gt;8,"Best",E548=7,"Good",E548&gt;7,"Good",E548&lt;7,"Avg",E548&lt;6,"Below Avg")</f>
        <v>Best</v>
      </c>
      <c r="I548">
        <v>141</v>
      </c>
      <c r="K548" s="3">
        <v>27419058</v>
      </c>
      <c r="L548" s="3">
        <v>21279372</v>
      </c>
      <c r="M548" s="3">
        <f t="shared" si="34"/>
        <v>6139686</v>
      </c>
      <c r="N548" t="s">
        <v>1315</v>
      </c>
      <c r="O548" t="s">
        <v>56</v>
      </c>
      <c r="P548" t="s">
        <v>11</v>
      </c>
      <c r="Q548" t="str">
        <f t="shared" si="35"/>
        <v>Kid</v>
      </c>
    </row>
    <row r="549" spans="1:17" x14ac:dyDescent="0.3">
      <c r="A549" t="s">
        <v>1316</v>
      </c>
      <c r="B549">
        <v>2025</v>
      </c>
      <c r="C549" s="5" t="s">
        <v>640</v>
      </c>
      <c r="D549" t="s">
        <v>8</v>
      </c>
      <c r="E549" s="4">
        <v>8.8000000000000007</v>
      </c>
      <c r="F549" t="str">
        <f t="shared" si="32"/>
        <v>Watch</v>
      </c>
      <c r="G549" t="str">
        <f t="shared" si="33"/>
        <v>Best</v>
      </c>
      <c r="H549" t="str" cm="1">
        <f t="array" ref="H549">_xlfn.IFS(E549&gt;8,"Best",E549=7,"Good",E549&gt;7,"Good",E549&lt;7,"Avg",E549&lt;6,"Below Avg")</f>
        <v>Best</v>
      </c>
      <c r="I549">
        <v>157</v>
      </c>
      <c r="K549" s="3">
        <v>27222411</v>
      </c>
      <c r="L549" s="3">
        <v>21148274</v>
      </c>
      <c r="M549" s="3">
        <f t="shared" si="34"/>
        <v>6074137</v>
      </c>
      <c r="N549" t="s">
        <v>1317</v>
      </c>
      <c r="O549" t="s">
        <v>1318</v>
      </c>
      <c r="P549" t="s">
        <v>11</v>
      </c>
      <c r="Q549" t="str">
        <f t="shared" si="35"/>
        <v>Kid</v>
      </c>
    </row>
    <row r="550" spans="1:17" x14ac:dyDescent="0.3">
      <c r="A550" t="s">
        <v>1321</v>
      </c>
      <c r="B550">
        <v>2025</v>
      </c>
      <c r="C550" s="5" t="s">
        <v>640</v>
      </c>
      <c r="D550" t="s">
        <v>27</v>
      </c>
      <c r="E550" s="4">
        <v>6.8</v>
      </c>
      <c r="F550" t="str">
        <f t="shared" si="32"/>
        <v>Watch</v>
      </c>
      <c r="G550" t="str">
        <f t="shared" si="33"/>
        <v>Avg</v>
      </c>
      <c r="H550" t="str" cm="1">
        <f t="array" ref="H550">_xlfn.IFS(E550&gt;8,"Best",E550=7,"Good",E550&gt;7,"Good",E550&lt;7,"Avg",E550&lt;6,"Below Avg")</f>
        <v>Avg</v>
      </c>
      <c r="I550">
        <v>137</v>
      </c>
      <c r="K550" s="3">
        <v>27155751</v>
      </c>
      <c r="L550" s="3">
        <v>21103834</v>
      </c>
      <c r="M550" s="3">
        <f t="shared" si="34"/>
        <v>6051917</v>
      </c>
      <c r="O550" t="s">
        <v>1322</v>
      </c>
      <c r="P550" t="s">
        <v>11</v>
      </c>
      <c r="Q550" t="str">
        <f t="shared" si="35"/>
        <v>Kid</v>
      </c>
    </row>
    <row r="551" spans="1:17" x14ac:dyDescent="0.3">
      <c r="A551" t="s">
        <v>1323</v>
      </c>
      <c r="B551">
        <v>2025</v>
      </c>
      <c r="C551" s="5" t="s">
        <v>640</v>
      </c>
      <c r="D551" t="s">
        <v>354</v>
      </c>
      <c r="E551" s="4">
        <v>8.3000000000000007</v>
      </c>
      <c r="F551" t="str">
        <f t="shared" si="32"/>
        <v>Watch</v>
      </c>
      <c r="G551" t="str">
        <f t="shared" si="33"/>
        <v>Good</v>
      </c>
      <c r="H551" t="str" cm="1">
        <f t="array" ref="H551">_xlfn.IFS(E551&gt;8,"Best",E551=7,"Good",E551&gt;7,"Good",E551&lt;7,"Avg",E551&lt;6,"Below Avg")</f>
        <v>Best</v>
      </c>
      <c r="I551">
        <v>113</v>
      </c>
      <c r="K551" s="3">
        <v>29075559</v>
      </c>
      <c r="L551" s="3">
        <v>22383706</v>
      </c>
      <c r="M551" s="3">
        <f t="shared" si="34"/>
        <v>6691853</v>
      </c>
      <c r="N551" t="s">
        <v>292</v>
      </c>
      <c r="O551" t="s">
        <v>1324</v>
      </c>
      <c r="P551" t="s">
        <v>11</v>
      </c>
      <c r="Q551" t="str">
        <f t="shared" si="35"/>
        <v>Kid</v>
      </c>
    </row>
    <row r="552" spans="1:17" x14ac:dyDescent="0.3">
      <c r="A552" t="s">
        <v>1325</v>
      </c>
      <c r="B552">
        <v>2025</v>
      </c>
      <c r="C552" s="5" t="s">
        <v>640</v>
      </c>
      <c r="D552" t="s">
        <v>8</v>
      </c>
      <c r="E552" s="4">
        <v>7.7</v>
      </c>
      <c r="F552" t="str">
        <f t="shared" si="32"/>
        <v>Watch</v>
      </c>
      <c r="G552" t="str">
        <f t="shared" si="33"/>
        <v>Good</v>
      </c>
      <c r="H552" t="str" cm="1">
        <f t="array" ref="H552">_xlfn.IFS(E552&gt;8,"Best",E552=7,"Good",E552&gt;7,"Good",E552&lt;7,"Avg",E552&lt;6,"Below Avg")</f>
        <v>Good</v>
      </c>
      <c r="I552">
        <v>134</v>
      </c>
      <c r="K552" s="3">
        <v>28395627</v>
      </c>
      <c r="L552" s="3">
        <v>21930418</v>
      </c>
      <c r="M552" s="3">
        <f t="shared" si="34"/>
        <v>6465209</v>
      </c>
      <c r="N552" t="s">
        <v>574</v>
      </c>
      <c r="O552" t="s">
        <v>1326</v>
      </c>
      <c r="P552" t="s">
        <v>11</v>
      </c>
      <c r="Q552" t="str">
        <f t="shared" si="35"/>
        <v>Kid</v>
      </c>
    </row>
    <row r="553" spans="1:17" x14ac:dyDescent="0.3">
      <c r="A553" t="s">
        <v>1327</v>
      </c>
      <c r="B553">
        <v>2025</v>
      </c>
      <c r="C553" s="5" t="s">
        <v>640</v>
      </c>
      <c r="D553" t="s">
        <v>304</v>
      </c>
      <c r="E553" s="4">
        <v>7.3</v>
      </c>
      <c r="F553" t="str">
        <f t="shared" si="32"/>
        <v>Watch</v>
      </c>
      <c r="G553" t="str">
        <f t="shared" si="33"/>
        <v>Good</v>
      </c>
      <c r="H553" t="str" cm="1">
        <f t="array" ref="H553">_xlfn.IFS(E553&gt;8,"Best",E553=7,"Good",E553&gt;7,"Good",E553&lt;7,"Avg",E553&lt;6,"Below Avg")</f>
        <v>Good</v>
      </c>
      <c r="I553">
        <v>157</v>
      </c>
      <c r="K553" s="3">
        <v>30472086</v>
      </c>
      <c r="L553" s="3">
        <v>23314724</v>
      </c>
      <c r="M553" s="3">
        <f t="shared" si="34"/>
        <v>7157362</v>
      </c>
      <c r="N553" t="s">
        <v>1328</v>
      </c>
      <c r="O553" t="s">
        <v>120</v>
      </c>
      <c r="P553" t="s">
        <v>11</v>
      </c>
      <c r="Q553" t="str">
        <f t="shared" si="35"/>
        <v>Kid</v>
      </c>
    </row>
    <row r="554" spans="1:17" x14ac:dyDescent="0.3">
      <c r="A554" t="s">
        <v>1329</v>
      </c>
      <c r="B554">
        <v>2025</v>
      </c>
      <c r="C554" s="5" t="s">
        <v>640</v>
      </c>
      <c r="D554" t="s">
        <v>2</v>
      </c>
      <c r="E554" s="4">
        <v>7.6</v>
      </c>
      <c r="F554" t="str">
        <f t="shared" si="32"/>
        <v>Watch</v>
      </c>
      <c r="G554" t="str">
        <f t="shared" si="33"/>
        <v>Good</v>
      </c>
      <c r="H554" t="str" cm="1">
        <f t="array" ref="H554">_xlfn.IFS(E554&gt;8,"Best",E554=7,"Good",E554&gt;7,"Good",E554&lt;7,"Avg",E554&lt;6,"Below Avg")</f>
        <v>Good</v>
      </c>
      <c r="I554">
        <v>160</v>
      </c>
      <c r="K554" s="3">
        <v>45803475</v>
      </c>
      <c r="L554" s="3">
        <v>12621330</v>
      </c>
      <c r="M554" s="3">
        <f t="shared" si="34"/>
        <v>33182145</v>
      </c>
      <c r="O554" t="s">
        <v>1330</v>
      </c>
      <c r="P554" t="s">
        <v>4</v>
      </c>
      <c r="Q554" t="str">
        <f t="shared" si="35"/>
        <v>Adult</v>
      </c>
    </row>
    <row r="555" spans="1:17" x14ac:dyDescent="0.3">
      <c r="A555" t="s">
        <v>1332</v>
      </c>
      <c r="B555">
        <v>2025</v>
      </c>
      <c r="C555" s="5" t="s">
        <v>640</v>
      </c>
      <c r="D555" t="s">
        <v>93</v>
      </c>
      <c r="E555" s="4">
        <v>7.4</v>
      </c>
      <c r="F555" t="str">
        <f t="shared" si="32"/>
        <v>Watch</v>
      </c>
      <c r="G555" t="str">
        <f t="shared" si="33"/>
        <v>Good</v>
      </c>
      <c r="H555" t="str" cm="1">
        <f t="array" ref="H555">_xlfn.IFS(E555&gt;8,"Best",E555=7,"Good",E555&gt;7,"Good",E555&lt;7,"Avg",E555&lt;6,"Below Avg")</f>
        <v>Good</v>
      </c>
      <c r="I555">
        <v>125</v>
      </c>
      <c r="K555" s="3">
        <v>27615705</v>
      </c>
      <c r="L555" s="3">
        <v>21410470</v>
      </c>
      <c r="M555" s="3">
        <f t="shared" si="34"/>
        <v>6205235</v>
      </c>
      <c r="O555" t="s">
        <v>1333</v>
      </c>
      <c r="P555" t="s">
        <v>11</v>
      </c>
      <c r="Q555" t="str">
        <f t="shared" si="35"/>
        <v>Kid</v>
      </c>
    </row>
    <row r="556" spans="1:17" x14ac:dyDescent="0.3">
      <c r="A556" t="s">
        <v>1334</v>
      </c>
      <c r="B556">
        <v>2025</v>
      </c>
      <c r="C556" s="5" t="s">
        <v>640</v>
      </c>
      <c r="D556" t="s">
        <v>35</v>
      </c>
      <c r="E556" s="4">
        <v>8.8000000000000007</v>
      </c>
      <c r="F556" t="str">
        <f t="shared" si="32"/>
        <v>Watch</v>
      </c>
      <c r="G556" t="str">
        <f t="shared" si="33"/>
        <v>Best</v>
      </c>
      <c r="H556" t="str" cm="1">
        <f t="array" ref="H556">_xlfn.IFS(E556&gt;8,"Best",E556=7,"Good",E556&gt;7,"Good",E556&lt;7,"Avg",E556&lt;6,"Below Avg")</f>
        <v>Best</v>
      </c>
      <c r="I556">
        <v>109</v>
      </c>
      <c r="K556" s="3">
        <v>29312202</v>
      </c>
      <c r="L556" s="3">
        <v>22541468</v>
      </c>
      <c r="M556" s="3">
        <f t="shared" si="34"/>
        <v>6770734</v>
      </c>
      <c r="O556" t="s">
        <v>1335</v>
      </c>
      <c r="P556" t="s">
        <v>11</v>
      </c>
      <c r="Q556" t="str">
        <f t="shared" si="35"/>
        <v>Kid</v>
      </c>
    </row>
    <row r="557" spans="1:17" x14ac:dyDescent="0.3">
      <c r="A557" t="s">
        <v>1336</v>
      </c>
      <c r="B557">
        <v>2025</v>
      </c>
      <c r="C557" s="5" t="s">
        <v>640</v>
      </c>
      <c r="D557" t="s">
        <v>23</v>
      </c>
      <c r="E557" s="4">
        <v>8</v>
      </c>
      <c r="F557" t="str">
        <f t="shared" si="32"/>
        <v>Watch</v>
      </c>
      <c r="G557" t="str">
        <f t="shared" si="33"/>
        <v>Good</v>
      </c>
      <c r="H557" t="str" cm="1">
        <f t="array" ref="H557">_xlfn.IFS(E557&gt;8,"Best",E557=7,"Good",E557&gt;7,"Good",E557&lt;7,"Avg",E557&lt;6,"Below Avg")</f>
        <v>Good</v>
      </c>
      <c r="I557">
        <v>98</v>
      </c>
      <c r="K557" s="3">
        <v>27525714</v>
      </c>
      <c r="L557" s="3">
        <v>21350476</v>
      </c>
      <c r="M557" s="3">
        <f t="shared" si="34"/>
        <v>6175238</v>
      </c>
      <c r="N557" t="s">
        <v>1337</v>
      </c>
      <c r="O557" t="s">
        <v>1338</v>
      </c>
      <c r="P557" t="s">
        <v>11</v>
      </c>
      <c r="Q557" t="str">
        <f t="shared" si="35"/>
        <v>Kid</v>
      </c>
    </row>
    <row r="558" spans="1:17" x14ac:dyDescent="0.3">
      <c r="A558" t="s">
        <v>1339</v>
      </c>
      <c r="B558">
        <v>2025</v>
      </c>
      <c r="C558" s="5" t="s">
        <v>640</v>
      </c>
      <c r="D558" t="s">
        <v>8</v>
      </c>
      <c r="E558" s="4">
        <v>8.3000000000000007</v>
      </c>
      <c r="F558" t="str">
        <f t="shared" si="32"/>
        <v>Watch</v>
      </c>
      <c r="G558" t="str">
        <f t="shared" si="33"/>
        <v>Good</v>
      </c>
      <c r="H558" t="str" cm="1">
        <f t="array" ref="H558">_xlfn.IFS(E558&gt;8,"Best",E558=7,"Good",E558&gt;7,"Good",E558&lt;7,"Avg",E558&lt;6,"Below Avg")</f>
        <v>Best</v>
      </c>
      <c r="I558">
        <v>116</v>
      </c>
      <c r="K558" s="3">
        <v>33585108</v>
      </c>
      <c r="L558" s="3">
        <v>25390072</v>
      </c>
      <c r="M558" s="3">
        <f t="shared" si="34"/>
        <v>8195036</v>
      </c>
      <c r="N558" t="s">
        <v>1340</v>
      </c>
      <c r="O558" t="s">
        <v>1341</v>
      </c>
      <c r="P558" t="s">
        <v>11</v>
      </c>
      <c r="Q558" t="str">
        <f t="shared" si="35"/>
        <v>Kid</v>
      </c>
    </row>
    <row r="559" spans="1:17" x14ac:dyDescent="0.3">
      <c r="A559" t="s">
        <v>1345</v>
      </c>
      <c r="B559">
        <v>2025</v>
      </c>
      <c r="C559" s="5" t="s">
        <v>640</v>
      </c>
      <c r="D559" t="s">
        <v>8</v>
      </c>
      <c r="E559" s="4">
        <v>8.8000000000000007</v>
      </c>
      <c r="F559" t="str">
        <f t="shared" si="32"/>
        <v>Watch</v>
      </c>
      <c r="G559" t="str">
        <f t="shared" si="33"/>
        <v>Best</v>
      </c>
      <c r="H559" t="str" cm="1">
        <f t="array" ref="H559">_xlfn.IFS(E559&gt;8,"Best",E559=7,"Good",E559&gt;7,"Good",E559&lt;7,"Avg",E559&lt;6,"Below Avg")</f>
        <v>Best</v>
      </c>
      <c r="I559">
        <v>124</v>
      </c>
      <c r="K559" s="3">
        <v>27112422</v>
      </c>
      <c r="L559" s="3">
        <v>21074948</v>
      </c>
      <c r="M559" s="3">
        <f t="shared" si="34"/>
        <v>6037474</v>
      </c>
      <c r="N559" t="s">
        <v>1346</v>
      </c>
      <c r="O559" t="s">
        <v>1347</v>
      </c>
      <c r="P559" t="s">
        <v>11</v>
      </c>
      <c r="Q559" t="str">
        <f t="shared" si="35"/>
        <v>Kid</v>
      </c>
    </row>
    <row r="560" spans="1:17" x14ac:dyDescent="0.3">
      <c r="A560" t="s">
        <v>1348</v>
      </c>
      <c r="B560">
        <v>2025</v>
      </c>
      <c r="C560" s="5" t="s">
        <v>640</v>
      </c>
      <c r="D560" t="s">
        <v>8</v>
      </c>
      <c r="E560" s="4">
        <v>8.4</v>
      </c>
      <c r="F560" t="str">
        <f t="shared" si="32"/>
        <v>Watch</v>
      </c>
      <c r="G560" t="str">
        <f t="shared" si="33"/>
        <v>Good</v>
      </c>
      <c r="H560" t="str" cm="1">
        <f t="array" ref="H560">_xlfn.IFS(E560&gt;8,"Best",E560=7,"Good",E560&gt;7,"Good",E560&lt;7,"Avg",E560&lt;6,"Below Avg")</f>
        <v>Best</v>
      </c>
      <c r="I560">
        <v>102</v>
      </c>
      <c r="K560" s="3">
        <v>27539046</v>
      </c>
      <c r="L560" s="3">
        <v>21359364</v>
      </c>
      <c r="M560" s="3">
        <f t="shared" si="34"/>
        <v>6179682</v>
      </c>
      <c r="N560" t="s">
        <v>1349</v>
      </c>
      <c r="O560" t="s">
        <v>1350</v>
      </c>
      <c r="P560" t="s">
        <v>11</v>
      </c>
      <c r="Q560" t="str">
        <f t="shared" si="35"/>
        <v>Kid</v>
      </c>
    </row>
    <row r="561" spans="1:17" x14ac:dyDescent="0.3">
      <c r="A561" t="s">
        <v>1351</v>
      </c>
      <c r="B561">
        <v>2025</v>
      </c>
      <c r="C561" s="5" t="s">
        <v>640</v>
      </c>
      <c r="D561" t="s">
        <v>2</v>
      </c>
      <c r="E561" s="4">
        <v>7.6</v>
      </c>
      <c r="F561" t="str">
        <f t="shared" si="32"/>
        <v>Watch</v>
      </c>
      <c r="G561" t="str">
        <f t="shared" si="33"/>
        <v>Good</v>
      </c>
      <c r="H561" t="str" cm="1">
        <f t="array" ref="H561">_xlfn.IFS(E561&gt;8,"Best",E561=7,"Good",E561&gt;7,"Good",E561&lt;7,"Avg",E561&lt;6,"Below Avg")</f>
        <v>Good</v>
      </c>
      <c r="I561">
        <v>136</v>
      </c>
      <c r="K561" s="3">
        <v>45253530</v>
      </c>
      <c r="L561" s="3">
        <v>12499164</v>
      </c>
      <c r="M561" s="3">
        <f t="shared" si="34"/>
        <v>32754366</v>
      </c>
      <c r="O561" t="s">
        <v>1352</v>
      </c>
      <c r="P561" t="s">
        <v>4</v>
      </c>
      <c r="Q561" t="str">
        <f t="shared" si="35"/>
        <v>Adult</v>
      </c>
    </row>
    <row r="562" spans="1:17" x14ac:dyDescent="0.3">
      <c r="A562" t="s">
        <v>1353</v>
      </c>
      <c r="B562">
        <v>2025</v>
      </c>
      <c r="C562" s="5" t="s">
        <v>640</v>
      </c>
      <c r="D562" t="s">
        <v>8</v>
      </c>
      <c r="E562" s="4">
        <v>6.9</v>
      </c>
      <c r="F562" t="str">
        <f t="shared" si="32"/>
        <v>Watch</v>
      </c>
      <c r="G562" t="str">
        <f t="shared" si="33"/>
        <v>Avg</v>
      </c>
      <c r="H562" t="str" cm="1">
        <f t="array" ref="H562">_xlfn.IFS(E562&gt;8,"Best",E562=7,"Good",E562&gt;7,"Good",E562&lt;7,"Avg",E562&lt;6,"Below Avg")</f>
        <v>Avg</v>
      </c>
      <c r="I562">
        <v>93</v>
      </c>
      <c r="K562" s="3">
        <v>28258974</v>
      </c>
      <c r="L562" s="3">
        <v>21839316</v>
      </c>
      <c r="M562" s="3">
        <f t="shared" si="34"/>
        <v>6419658</v>
      </c>
      <c r="N562" t="s">
        <v>1354</v>
      </c>
      <c r="O562" t="s">
        <v>1355</v>
      </c>
      <c r="P562" t="s">
        <v>11</v>
      </c>
      <c r="Q562" t="str">
        <f t="shared" si="35"/>
        <v>Kid</v>
      </c>
    </row>
    <row r="563" spans="1:17" x14ac:dyDescent="0.3">
      <c r="A563" t="s">
        <v>1363</v>
      </c>
      <c r="B563">
        <v>2025</v>
      </c>
      <c r="C563" s="5" t="s">
        <v>640</v>
      </c>
      <c r="D563" t="s">
        <v>39</v>
      </c>
      <c r="E563" s="4">
        <v>6</v>
      </c>
      <c r="F563" t="str">
        <f t="shared" si="32"/>
        <v>Don't Watch</v>
      </c>
      <c r="G563" t="str">
        <f t="shared" si="33"/>
        <v>Avg</v>
      </c>
      <c r="H563" t="str" cm="1">
        <f t="array" ref="H563">_xlfn.IFS(E563&gt;8,"Best",E563=7,"Good",E563&gt;7,"Good",E563&lt;7,"Avg",E563&lt;6,"Below Avg")</f>
        <v>Avg</v>
      </c>
      <c r="I563">
        <v>159</v>
      </c>
      <c r="K563" s="3">
        <v>28228977</v>
      </c>
      <c r="L563" s="3">
        <v>21819318</v>
      </c>
      <c r="M563" s="3">
        <f t="shared" si="34"/>
        <v>6409659</v>
      </c>
      <c r="N563" t="s">
        <v>1364</v>
      </c>
      <c r="O563" t="s">
        <v>497</v>
      </c>
      <c r="P563" t="s">
        <v>11</v>
      </c>
      <c r="Q563" t="str">
        <f t="shared" si="35"/>
        <v>Kid</v>
      </c>
    </row>
    <row r="564" spans="1:17" x14ac:dyDescent="0.3">
      <c r="A564" t="s">
        <v>1365</v>
      </c>
      <c r="B564">
        <v>2025</v>
      </c>
      <c r="C564" s="5" t="s">
        <v>640</v>
      </c>
      <c r="D564" t="s">
        <v>49</v>
      </c>
      <c r="E564" s="4">
        <v>7.9</v>
      </c>
      <c r="F564" t="str">
        <f t="shared" si="32"/>
        <v>Watch</v>
      </c>
      <c r="G564" t="str">
        <f t="shared" si="33"/>
        <v>Good</v>
      </c>
      <c r="H564" t="str" cm="1">
        <f t="array" ref="H564">_xlfn.IFS(E564&gt;8,"Best",E564=7,"Good",E564&gt;7,"Good",E564&lt;7,"Avg",E564&lt;6,"Below Avg")</f>
        <v>Good</v>
      </c>
      <c r="I564">
        <v>121</v>
      </c>
      <c r="K564" s="3">
        <v>27852348</v>
      </c>
      <c r="L564" s="3">
        <v>21568232</v>
      </c>
      <c r="M564" s="3">
        <f t="shared" si="34"/>
        <v>6284116</v>
      </c>
      <c r="N564" t="s">
        <v>1366</v>
      </c>
      <c r="O564" t="s">
        <v>1196</v>
      </c>
      <c r="P564" t="s">
        <v>11</v>
      </c>
      <c r="Q564" t="str">
        <f t="shared" si="35"/>
        <v>Kid</v>
      </c>
    </row>
    <row r="565" spans="1:17" x14ac:dyDescent="0.3">
      <c r="A565" t="s">
        <v>1227</v>
      </c>
      <c r="B565">
        <v>2025</v>
      </c>
      <c r="C565" s="5" t="s">
        <v>581</v>
      </c>
      <c r="D565" t="s">
        <v>2</v>
      </c>
      <c r="E565" s="4">
        <v>7.1</v>
      </c>
      <c r="F565" t="str">
        <f t="shared" si="32"/>
        <v>Watch</v>
      </c>
      <c r="G565" t="str">
        <f t="shared" si="33"/>
        <v>Good</v>
      </c>
      <c r="H565" t="str" cm="1">
        <f t="array" ref="H565">_xlfn.IFS(E565&gt;8,"Best",E565=7,"Good",E565&gt;7,"Good",E565&lt;7,"Avg",E565&lt;6,"Below Avg")</f>
        <v>Good</v>
      </c>
      <c r="I565">
        <v>149</v>
      </c>
      <c r="K565" s="3">
        <v>49075370</v>
      </c>
      <c r="L565" s="3">
        <v>13348156</v>
      </c>
      <c r="M565" s="3">
        <f t="shared" si="34"/>
        <v>35727214</v>
      </c>
      <c r="N565" t="s">
        <v>1228</v>
      </c>
      <c r="O565" t="s">
        <v>1229</v>
      </c>
      <c r="P565" t="s">
        <v>4</v>
      </c>
      <c r="Q565" t="str">
        <f t="shared" si="35"/>
        <v>Adult</v>
      </c>
    </row>
    <row r="566" spans="1:17" x14ac:dyDescent="0.3">
      <c r="A566" t="s">
        <v>1244</v>
      </c>
      <c r="B566">
        <v>2025</v>
      </c>
      <c r="C566" s="5" t="s">
        <v>581</v>
      </c>
      <c r="D566" t="s">
        <v>2</v>
      </c>
      <c r="E566" s="4">
        <v>8.6</v>
      </c>
      <c r="F566" t="str">
        <f t="shared" si="32"/>
        <v>Watch</v>
      </c>
      <c r="G566" t="str">
        <f t="shared" si="33"/>
        <v>Best</v>
      </c>
      <c r="H566" t="str" cm="1">
        <f t="array" ref="H566">_xlfn.IFS(E566&gt;8,"Best",E566=7,"Good",E566&gt;7,"Good",E566&lt;7,"Avg",E566&lt;6,"Below Avg")</f>
        <v>Best</v>
      </c>
      <c r="I566">
        <v>101</v>
      </c>
      <c r="K566" s="3">
        <v>51725105</v>
      </c>
      <c r="L566" s="3">
        <v>13936774</v>
      </c>
      <c r="M566" s="3">
        <f t="shared" si="34"/>
        <v>37788331</v>
      </c>
      <c r="N566" t="s">
        <v>1245</v>
      </c>
      <c r="O566" t="s">
        <v>1246</v>
      </c>
      <c r="P566" t="s">
        <v>4</v>
      </c>
      <c r="Q566" t="str">
        <f t="shared" si="35"/>
        <v>Adult</v>
      </c>
    </row>
    <row r="567" spans="1:17" x14ac:dyDescent="0.3">
      <c r="A567" t="s">
        <v>1265</v>
      </c>
      <c r="B567">
        <v>2025</v>
      </c>
      <c r="C567" s="5" t="s">
        <v>581</v>
      </c>
      <c r="D567" t="s">
        <v>19</v>
      </c>
      <c r="E567" s="4">
        <v>6.1</v>
      </c>
      <c r="F567" t="str">
        <f t="shared" si="32"/>
        <v>Don't Watch</v>
      </c>
      <c r="G567" t="str">
        <f t="shared" si="33"/>
        <v>Avg</v>
      </c>
      <c r="H567" t="str" cm="1">
        <f t="array" ref="H567">_xlfn.IFS(E567&gt;8,"Best",E567=7,"Good",E567&gt;7,"Good",E567&lt;7,"Avg",E567&lt;6,"Below Avg")</f>
        <v>Avg</v>
      </c>
      <c r="I567">
        <v>151</v>
      </c>
      <c r="K567" s="3">
        <v>25702563</v>
      </c>
      <c r="L567" s="3">
        <v>20135042</v>
      </c>
      <c r="M567" s="3">
        <f t="shared" si="34"/>
        <v>5567521</v>
      </c>
      <c r="O567" t="s">
        <v>1266</v>
      </c>
      <c r="P567" t="s">
        <v>11</v>
      </c>
      <c r="Q567" t="str">
        <f t="shared" si="35"/>
        <v>Kid</v>
      </c>
    </row>
    <row r="568" spans="1:17" x14ac:dyDescent="0.3">
      <c r="A568" t="s">
        <v>1288</v>
      </c>
      <c r="B568">
        <v>2025</v>
      </c>
      <c r="C568" s="5" t="s">
        <v>581</v>
      </c>
      <c r="D568" t="s">
        <v>27</v>
      </c>
      <c r="E568" s="4">
        <v>7.5</v>
      </c>
      <c r="F568" t="str">
        <f t="shared" si="32"/>
        <v>Watch</v>
      </c>
      <c r="G568" t="str">
        <f t="shared" si="33"/>
        <v>Good</v>
      </c>
      <c r="H568" t="str" cm="1">
        <f t="array" ref="H568">_xlfn.IFS(E568&gt;8,"Best",E568=7,"Good",E568&gt;7,"Good",E568&lt;7,"Avg",E568&lt;6,"Below Avg")</f>
        <v>Good</v>
      </c>
      <c r="I568">
        <v>99</v>
      </c>
      <c r="K568" s="3">
        <v>28278972</v>
      </c>
      <c r="L568" s="3">
        <v>21852648</v>
      </c>
      <c r="M568" s="3">
        <f t="shared" si="34"/>
        <v>6426324</v>
      </c>
      <c r="N568" t="s">
        <v>1289</v>
      </c>
      <c r="O568" t="s">
        <v>396</v>
      </c>
      <c r="P568" t="s">
        <v>11</v>
      </c>
      <c r="Q568" t="str">
        <f t="shared" si="35"/>
        <v>Kid</v>
      </c>
    </row>
    <row r="569" spans="1:17" x14ac:dyDescent="0.3">
      <c r="A569" t="s">
        <v>1230</v>
      </c>
      <c r="B569">
        <v>2025</v>
      </c>
      <c r="C569" s="5" t="s">
        <v>581</v>
      </c>
      <c r="D569" t="s">
        <v>49</v>
      </c>
      <c r="E569" s="4">
        <v>7.9</v>
      </c>
      <c r="F569" t="str">
        <f t="shared" si="32"/>
        <v>Watch</v>
      </c>
      <c r="G569" t="str">
        <f t="shared" si="33"/>
        <v>Good</v>
      </c>
      <c r="H569" t="str" cm="1">
        <f t="array" ref="H569">_xlfn.IFS(E569&gt;8,"Best",E569=7,"Good",E569&gt;7,"Good",E569&lt;7,"Avg",E569&lt;6,"Below Avg")</f>
        <v>Good</v>
      </c>
      <c r="I569">
        <v>151</v>
      </c>
      <c r="K569" s="3">
        <v>28952238</v>
      </c>
      <c r="L569" s="3">
        <v>22301492</v>
      </c>
      <c r="M569" s="3">
        <f t="shared" si="34"/>
        <v>6650746</v>
      </c>
      <c r="N569" t="s">
        <v>1231</v>
      </c>
      <c r="O569" t="s">
        <v>396</v>
      </c>
      <c r="P569" t="s">
        <v>11</v>
      </c>
      <c r="Q569" t="str">
        <f t="shared" si="35"/>
        <v>Kid</v>
      </c>
    </row>
    <row r="570" spans="1:17" x14ac:dyDescent="0.3">
      <c r="A570" t="s">
        <v>1232</v>
      </c>
      <c r="B570">
        <v>2025</v>
      </c>
      <c r="C570" s="5" t="s">
        <v>581</v>
      </c>
      <c r="D570" t="s">
        <v>8</v>
      </c>
      <c r="E570" s="4">
        <v>6.5</v>
      </c>
      <c r="F570" t="str">
        <f t="shared" si="32"/>
        <v>Don't Watch</v>
      </c>
      <c r="G570" t="str">
        <f t="shared" si="33"/>
        <v>Avg</v>
      </c>
      <c r="H570" t="str" cm="1">
        <f t="array" ref="H570">_xlfn.IFS(E570&gt;8,"Best",E570=7,"Good",E570&gt;7,"Good",E570&lt;7,"Avg",E570&lt;6,"Below Avg")</f>
        <v>Avg</v>
      </c>
      <c r="I570">
        <v>122</v>
      </c>
      <c r="K570" s="3">
        <v>33855081</v>
      </c>
      <c r="L570" s="3">
        <v>25570054</v>
      </c>
      <c r="M570" s="3">
        <f t="shared" si="34"/>
        <v>8285027</v>
      </c>
      <c r="N570" t="s">
        <v>1233</v>
      </c>
      <c r="O570" t="s">
        <v>1234</v>
      </c>
      <c r="P570" t="s">
        <v>11</v>
      </c>
      <c r="Q570" t="str">
        <f t="shared" si="35"/>
        <v>Kid</v>
      </c>
    </row>
    <row r="571" spans="1:17" x14ac:dyDescent="0.3">
      <c r="A571" t="s">
        <v>1235</v>
      </c>
      <c r="B571">
        <v>2025</v>
      </c>
      <c r="C571" s="5" t="s">
        <v>581</v>
      </c>
      <c r="D571" t="s">
        <v>8</v>
      </c>
      <c r="E571" s="4">
        <v>6.6</v>
      </c>
      <c r="F571" t="str">
        <f t="shared" si="32"/>
        <v>Watch</v>
      </c>
      <c r="G571" t="str">
        <f t="shared" si="33"/>
        <v>Avg</v>
      </c>
      <c r="H571" t="str" cm="1">
        <f t="array" ref="H571">_xlfn.IFS(E571&gt;8,"Best",E571=7,"Good",E571&gt;7,"Good",E571&lt;7,"Avg",E571&lt;6,"Below Avg")</f>
        <v>Avg</v>
      </c>
      <c r="I571">
        <v>111</v>
      </c>
      <c r="K571" s="3">
        <v>26819118</v>
      </c>
      <c r="L571" s="3">
        <v>20879412</v>
      </c>
      <c r="M571" s="3">
        <f t="shared" si="34"/>
        <v>5939706</v>
      </c>
      <c r="N571" t="s">
        <v>1236</v>
      </c>
      <c r="O571" t="s">
        <v>14</v>
      </c>
      <c r="P571" t="s">
        <v>11</v>
      </c>
      <c r="Q571" t="str">
        <f t="shared" si="35"/>
        <v>Kid</v>
      </c>
    </row>
    <row r="572" spans="1:17" x14ac:dyDescent="0.3">
      <c r="A572" t="s">
        <v>1237</v>
      </c>
      <c r="B572">
        <v>2025</v>
      </c>
      <c r="C572" s="5" t="s">
        <v>581</v>
      </c>
      <c r="D572" t="s">
        <v>8</v>
      </c>
      <c r="E572" s="4">
        <v>9</v>
      </c>
      <c r="F572" t="str">
        <f t="shared" si="32"/>
        <v>Watch</v>
      </c>
      <c r="G572" t="str">
        <f t="shared" si="33"/>
        <v>Best</v>
      </c>
      <c r="H572" t="str" cm="1">
        <f t="array" ref="H572">_xlfn.IFS(E572&gt;8,"Best",E572=7,"Good",E572&gt;7,"Good",E572&lt;7,"Avg",E572&lt;6,"Below Avg")</f>
        <v>Best</v>
      </c>
      <c r="I572">
        <v>144</v>
      </c>
      <c r="K572" s="3">
        <v>26679132</v>
      </c>
      <c r="L572" s="3">
        <v>20786088</v>
      </c>
      <c r="M572" s="3">
        <f t="shared" si="34"/>
        <v>5893044</v>
      </c>
      <c r="O572" t="s">
        <v>1238</v>
      </c>
      <c r="P572" t="s">
        <v>11</v>
      </c>
      <c r="Q572" t="str">
        <f t="shared" si="35"/>
        <v>Kid</v>
      </c>
    </row>
    <row r="573" spans="1:17" x14ac:dyDescent="0.3">
      <c r="A573" t="s">
        <v>1239</v>
      </c>
      <c r="B573">
        <v>2025</v>
      </c>
      <c r="C573" s="5" t="s">
        <v>581</v>
      </c>
      <c r="D573" t="s">
        <v>39</v>
      </c>
      <c r="E573" s="4">
        <v>7</v>
      </c>
      <c r="F573" t="str">
        <f t="shared" si="32"/>
        <v>Watch</v>
      </c>
      <c r="G573" t="str">
        <f t="shared" si="33"/>
        <v>Avg</v>
      </c>
      <c r="H573" t="str" cm="1">
        <f t="array" ref="H573">_xlfn.IFS(E573&gt;8,"Best",E573=7,"Good",E573&gt;7,"Good",E573&lt;7,"Avg",E573&lt;6,"Below Avg")</f>
        <v>Good</v>
      </c>
      <c r="I573">
        <v>148</v>
      </c>
      <c r="K573" s="3">
        <v>29692164</v>
      </c>
      <c r="L573" s="3">
        <v>22794776</v>
      </c>
      <c r="M573" s="3">
        <f t="shared" si="34"/>
        <v>6897388</v>
      </c>
      <c r="O573" t="s">
        <v>1240</v>
      </c>
      <c r="P573" t="s">
        <v>11</v>
      </c>
      <c r="Q573" t="str">
        <f t="shared" si="35"/>
        <v>Kid</v>
      </c>
    </row>
    <row r="574" spans="1:17" x14ac:dyDescent="0.3">
      <c r="A574" t="s">
        <v>1241</v>
      </c>
      <c r="B574">
        <v>2025</v>
      </c>
      <c r="C574" s="5" t="s">
        <v>581</v>
      </c>
      <c r="D574" t="s">
        <v>232</v>
      </c>
      <c r="E574" s="4">
        <v>7.6</v>
      </c>
      <c r="F574" t="str">
        <f t="shared" si="32"/>
        <v>Watch</v>
      </c>
      <c r="G574" t="str">
        <f t="shared" si="33"/>
        <v>Good</v>
      </c>
      <c r="H574" t="str" cm="1">
        <f t="array" ref="H574">_xlfn.IFS(E574&gt;8,"Best",E574=7,"Good",E574&gt;7,"Good",E574&lt;7,"Avg",E574&lt;6,"Below Avg")</f>
        <v>Good</v>
      </c>
      <c r="I574">
        <v>94</v>
      </c>
      <c r="K574" s="3">
        <v>30262107</v>
      </c>
      <c r="L574" s="3">
        <v>23174738</v>
      </c>
      <c r="M574" s="3">
        <f t="shared" si="34"/>
        <v>7087369</v>
      </c>
      <c r="N574" t="s">
        <v>1242</v>
      </c>
      <c r="O574" t="s">
        <v>1243</v>
      </c>
      <c r="P574" t="s">
        <v>11</v>
      </c>
      <c r="Q574" t="str">
        <f t="shared" si="35"/>
        <v>Kid</v>
      </c>
    </row>
    <row r="575" spans="1:17" x14ac:dyDescent="0.3">
      <c r="A575" t="s">
        <v>1247</v>
      </c>
      <c r="B575">
        <v>2025</v>
      </c>
      <c r="C575" s="5" t="s">
        <v>581</v>
      </c>
      <c r="D575" t="s">
        <v>27</v>
      </c>
      <c r="E575" s="4">
        <v>6.9</v>
      </c>
      <c r="F575" t="str">
        <f t="shared" si="32"/>
        <v>Watch</v>
      </c>
      <c r="G575" t="str">
        <f t="shared" si="33"/>
        <v>Avg</v>
      </c>
      <c r="H575" t="str" cm="1">
        <f t="array" ref="H575">_xlfn.IFS(E575&gt;8,"Best",E575=7,"Good",E575&gt;7,"Good",E575&lt;7,"Avg",E575&lt;6,"Below Avg")</f>
        <v>Avg</v>
      </c>
      <c r="I575">
        <v>117</v>
      </c>
      <c r="K575" s="3">
        <v>28588941</v>
      </c>
      <c r="L575" s="3">
        <v>22059294</v>
      </c>
      <c r="M575" s="3">
        <f t="shared" si="34"/>
        <v>6529647</v>
      </c>
      <c r="N575" t="s">
        <v>1248</v>
      </c>
      <c r="O575" t="s">
        <v>1249</v>
      </c>
      <c r="P575" t="s">
        <v>11</v>
      </c>
      <c r="Q575" t="str">
        <f t="shared" si="35"/>
        <v>Kid</v>
      </c>
    </row>
    <row r="576" spans="1:17" x14ac:dyDescent="0.3">
      <c r="A576" t="s">
        <v>1250</v>
      </c>
      <c r="B576">
        <v>2025</v>
      </c>
      <c r="C576" s="5" t="s">
        <v>581</v>
      </c>
      <c r="D576" t="s">
        <v>8</v>
      </c>
      <c r="E576" s="4">
        <v>9.1999999999999993</v>
      </c>
      <c r="F576" t="str">
        <f t="shared" si="32"/>
        <v>Watch</v>
      </c>
      <c r="G576" t="str">
        <f t="shared" si="33"/>
        <v>Best</v>
      </c>
      <c r="H576" t="str" cm="1">
        <f t="array" ref="H576">_xlfn.IFS(E576&gt;8,"Best",E576=7,"Good",E576&gt;7,"Good",E576&lt;7,"Avg",E576&lt;6,"Below Avg")</f>
        <v>Best</v>
      </c>
      <c r="I576">
        <v>107</v>
      </c>
      <c r="K576" s="3">
        <v>34055061</v>
      </c>
      <c r="L576" s="3">
        <v>25703374</v>
      </c>
      <c r="M576" s="3">
        <f t="shared" si="34"/>
        <v>8351687</v>
      </c>
      <c r="O576" t="s">
        <v>1251</v>
      </c>
      <c r="P576" t="s">
        <v>11</v>
      </c>
      <c r="Q576" t="str">
        <f t="shared" si="35"/>
        <v>Kid</v>
      </c>
    </row>
    <row r="577" spans="1:17" x14ac:dyDescent="0.3">
      <c r="A577" t="s">
        <v>1252</v>
      </c>
      <c r="B577">
        <v>2025</v>
      </c>
      <c r="C577" s="5" t="s">
        <v>581</v>
      </c>
      <c r="D577" t="s">
        <v>8</v>
      </c>
      <c r="E577" s="4">
        <v>6.4</v>
      </c>
      <c r="F577" t="str">
        <f t="shared" si="32"/>
        <v>Don't Watch</v>
      </c>
      <c r="G577" t="str">
        <f t="shared" si="33"/>
        <v>Avg</v>
      </c>
      <c r="H577" t="str" cm="1">
        <f t="array" ref="H577">_xlfn.IFS(E577&gt;8,"Best",E577=7,"Good",E577&gt;7,"Good",E577&lt;7,"Avg",E577&lt;6,"Below Avg")</f>
        <v>Avg</v>
      </c>
      <c r="I577">
        <v>163</v>
      </c>
      <c r="K577" s="3">
        <v>30992034</v>
      </c>
      <c r="L577" s="3">
        <v>23661356</v>
      </c>
      <c r="M577" s="3">
        <f t="shared" si="34"/>
        <v>7330678</v>
      </c>
      <c r="N577" t="s">
        <v>1253</v>
      </c>
      <c r="O577" t="s">
        <v>1254</v>
      </c>
      <c r="P577" t="s">
        <v>11</v>
      </c>
      <c r="Q577" t="str">
        <f t="shared" si="35"/>
        <v>Kid</v>
      </c>
    </row>
    <row r="578" spans="1:17" x14ac:dyDescent="0.3">
      <c r="A578" t="s">
        <v>1255</v>
      </c>
      <c r="B578">
        <v>2025</v>
      </c>
      <c r="C578" s="5" t="s">
        <v>581</v>
      </c>
      <c r="D578" t="s">
        <v>27</v>
      </c>
      <c r="E578" s="4">
        <v>6.9</v>
      </c>
      <c r="F578" t="str">
        <f t="shared" ref="F578:F641" si="36">IF(E578&gt;6.5,"Watch","Don't Watch")</f>
        <v>Watch</v>
      </c>
      <c r="G578" t="str">
        <f t="shared" ref="G578:G641" si="37">IF(E578&gt;8.5,"Best",IF(E578&gt;7,"Good",IF(E578&gt;5,"Avg",IF(E578&lt;5,"Below Avg",IF(E578&lt;3,"Bad",)))))</f>
        <v>Avg</v>
      </c>
      <c r="H578" t="str" cm="1">
        <f t="array" ref="H578">_xlfn.IFS(E578&gt;8,"Best",E578=7,"Good",E578&gt;7,"Good",E578&lt;7,"Avg",E578&lt;6,"Below Avg")</f>
        <v>Avg</v>
      </c>
      <c r="I578">
        <v>93</v>
      </c>
      <c r="K578" s="3">
        <v>28258974</v>
      </c>
      <c r="L578" s="3">
        <v>21839316</v>
      </c>
      <c r="M578" s="3">
        <f t="shared" ref="M578:M641" si="38" xml:space="preserve"> (K578-L578)</f>
        <v>6419658</v>
      </c>
      <c r="O578" t="s">
        <v>700</v>
      </c>
      <c r="P578" t="s">
        <v>11</v>
      </c>
      <c r="Q578" t="str">
        <f t="shared" ref="Q578:Q641" si="39">IF(P578="R","Adult","Kid")</f>
        <v>Kid</v>
      </c>
    </row>
    <row r="579" spans="1:17" x14ac:dyDescent="0.3">
      <c r="A579" t="s">
        <v>1256</v>
      </c>
      <c r="B579">
        <v>2025</v>
      </c>
      <c r="C579" s="5" t="s">
        <v>581</v>
      </c>
      <c r="D579" t="s">
        <v>35</v>
      </c>
      <c r="E579" s="4">
        <v>7.5</v>
      </c>
      <c r="F579" t="str">
        <f t="shared" si="36"/>
        <v>Watch</v>
      </c>
      <c r="G579" t="str">
        <f t="shared" si="37"/>
        <v>Good</v>
      </c>
      <c r="H579" t="str" cm="1">
        <f t="array" ref="H579">_xlfn.IFS(E579&gt;8,"Best",E579=7,"Good",E579&gt;7,"Good",E579&lt;7,"Avg",E579&lt;6,"Below Avg")</f>
        <v>Good</v>
      </c>
      <c r="I579">
        <v>129</v>
      </c>
      <c r="K579" s="3">
        <v>29378862</v>
      </c>
      <c r="L579" s="3">
        <v>22585908</v>
      </c>
      <c r="M579" s="3">
        <f t="shared" si="38"/>
        <v>6792954</v>
      </c>
      <c r="N579" t="s">
        <v>205</v>
      </c>
      <c r="O579" t="s">
        <v>120</v>
      </c>
      <c r="P579" t="s">
        <v>11</v>
      </c>
      <c r="Q579" t="str">
        <f t="shared" si="39"/>
        <v>Kid</v>
      </c>
    </row>
    <row r="580" spans="1:17" x14ac:dyDescent="0.3">
      <c r="A580" t="s">
        <v>1257</v>
      </c>
      <c r="B580">
        <v>2025</v>
      </c>
      <c r="C580" s="5" t="s">
        <v>581</v>
      </c>
      <c r="D580" t="s">
        <v>8</v>
      </c>
      <c r="E580" s="4">
        <v>6.5</v>
      </c>
      <c r="F580" t="str">
        <f t="shared" si="36"/>
        <v>Don't Watch</v>
      </c>
      <c r="G580" t="str">
        <f t="shared" si="37"/>
        <v>Avg</v>
      </c>
      <c r="H580" t="str" cm="1">
        <f t="array" ref="H580">_xlfn.IFS(E580&gt;8,"Best",E580=7,"Good",E580&gt;7,"Good",E580&lt;7,"Avg",E580&lt;6,"Below Avg")</f>
        <v>Avg</v>
      </c>
      <c r="I580">
        <v>104</v>
      </c>
      <c r="K580" s="3">
        <v>31545312</v>
      </c>
      <c r="L580" s="3">
        <v>24030208</v>
      </c>
      <c r="M580" s="3">
        <f t="shared" si="38"/>
        <v>7515104</v>
      </c>
      <c r="N580" t="s">
        <v>1258</v>
      </c>
      <c r="O580" t="s">
        <v>688</v>
      </c>
      <c r="P580" t="s">
        <v>11</v>
      </c>
      <c r="Q580" t="str">
        <f t="shared" si="39"/>
        <v>Kid</v>
      </c>
    </row>
    <row r="581" spans="1:17" x14ac:dyDescent="0.3">
      <c r="A581" t="s">
        <v>1259</v>
      </c>
      <c r="B581">
        <v>2025</v>
      </c>
      <c r="C581" s="5" t="s">
        <v>581</v>
      </c>
      <c r="D581" t="s">
        <v>8</v>
      </c>
      <c r="E581" s="4">
        <v>7.2</v>
      </c>
      <c r="F581" t="str">
        <f t="shared" si="36"/>
        <v>Watch</v>
      </c>
      <c r="G581" t="str">
        <f t="shared" si="37"/>
        <v>Good</v>
      </c>
      <c r="H581" t="str" cm="1">
        <f t="array" ref="H581">_xlfn.IFS(E581&gt;8,"Best",E581=7,"Good",E581&gt;7,"Good",E581&lt;7,"Avg",E581&lt;6,"Below Avg")</f>
        <v>Good</v>
      </c>
      <c r="I581">
        <v>102</v>
      </c>
      <c r="K581" s="3">
        <v>26289171</v>
      </c>
      <c r="L581" s="3">
        <v>20526114</v>
      </c>
      <c r="M581" s="3">
        <f t="shared" si="38"/>
        <v>5763057</v>
      </c>
      <c r="O581" t="s">
        <v>1260</v>
      </c>
      <c r="P581" t="s">
        <v>11</v>
      </c>
      <c r="Q581" t="str">
        <f t="shared" si="39"/>
        <v>Kid</v>
      </c>
    </row>
    <row r="582" spans="1:17" x14ac:dyDescent="0.3">
      <c r="A582" t="s">
        <v>1261</v>
      </c>
      <c r="B582">
        <v>2025</v>
      </c>
      <c r="C582" s="5" t="s">
        <v>581</v>
      </c>
      <c r="D582" t="s">
        <v>85</v>
      </c>
      <c r="E582" s="4">
        <v>8.6999999999999993</v>
      </c>
      <c r="F582" t="str">
        <f t="shared" si="36"/>
        <v>Watch</v>
      </c>
      <c r="G582" t="str">
        <f t="shared" si="37"/>
        <v>Best</v>
      </c>
      <c r="H582" t="str" cm="1">
        <f t="array" ref="H582">_xlfn.IFS(E582&gt;8,"Best",E582=7,"Good",E582&gt;7,"Good",E582&lt;7,"Avg",E582&lt;6,"Below Avg")</f>
        <v>Best</v>
      </c>
      <c r="I582">
        <v>153</v>
      </c>
      <c r="K582" s="3">
        <v>42014965</v>
      </c>
      <c r="L582" s="3">
        <v>11779742</v>
      </c>
      <c r="M582" s="3">
        <f t="shared" si="38"/>
        <v>30235223</v>
      </c>
      <c r="N582" t="s">
        <v>1262</v>
      </c>
      <c r="O582" t="s">
        <v>396</v>
      </c>
      <c r="P582" t="s">
        <v>4</v>
      </c>
      <c r="Q582" t="str">
        <f t="shared" si="39"/>
        <v>Adult</v>
      </c>
    </row>
    <row r="583" spans="1:17" x14ac:dyDescent="0.3">
      <c r="A583" t="s">
        <v>1263</v>
      </c>
      <c r="B583">
        <v>2025</v>
      </c>
      <c r="C583" s="5" t="s">
        <v>581</v>
      </c>
      <c r="D583" t="s">
        <v>23</v>
      </c>
      <c r="E583" s="4">
        <v>9.1999999999999993</v>
      </c>
      <c r="F583" t="str">
        <f t="shared" si="36"/>
        <v>Watch</v>
      </c>
      <c r="G583" t="str">
        <f t="shared" si="37"/>
        <v>Best</v>
      </c>
      <c r="H583" t="str" cm="1">
        <f t="array" ref="H583">_xlfn.IFS(E583&gt;8,"Best",E583=7,"Good",E583&gt;7,"Good",E583&lt;7,"Avg",E583&lt;6,"Below Avg")</f>
        <v>Best</v>
      </c>
      <c r="I583">
        <v>158</v>
      </c>
      <c r="K583" s="3">
        <v>28225644</v>
      </c>
      <c r="L583" s="3">
        <v>21817096</v>
      </c>
      <c r="M583" s="3">
        <f t="shared" si="38"/>
        <v>6408548</v>
      </c>
      <c r="O583" t="s">
        <v>67</v>
      </c>
      <c r="P583" t="s">
        <v>11</v>
      </c>
      <c r="Q583" t="str">
        <f t="shared" si="39"/>
        <v>Kid</v>
      </c>
    </row>
    <row r="584" spans="1:17" x14ac:dyDescent="0.3">
      <c r="A584" t="s">
        <v>1264</v>
      </c>
      <c r="B584">
        <v>2025</v>
      </c>
      <c r="C584" s="5" t="s">
        <v>581</v>
      </c>
      <c r="D584" t="s">
        <v>35</v>
      </c>
      <c r="E584" s="4">
        <v>8.6999999999999993</v>
      </c>
      <c r="F584" t="str">
        <f t="shared" si="36"/>
        <v>Watch</v>
      </c>
      <c r="G584" t="str">
        <f t="shared" si="37"/>
        <v>Best</v>
      </c>
      <c r="H584" t="str" cm="1">
        <f t="array" ref="H584">_xlfn.IFS(E584&gt;8,"Best",E584=7,"Good",E584&gt;7,"Good",E584&lt;7,"Avg",E584&lt;6,"Below Avg")</f>
        <v>Best</v>
      </c>
      <c r="I584">
        <v>144</v>
      </c>
      <c r="K584" s="3">
        <v>31178682</v>
      </c>
      <c r="L584" s="3">
        <v>23785788</v>
      </c>
      <c r="M584" s="3">
        <f t="shared" si="38"/>
        <v>7392894</v>
      </c>
      <c r="O584" t="s">
        <v>638</v>
      </c>
      <c r="P584" t="s">
        <v>11</v>
      </c>
      <c r="Q584" t="str">
        <f t="shared" si="39"/>
        <v>Kid</v>
      </c>
    </row>
    <row r="585" spans="1:17" x14ac:dyDescent="0.3">
      <c r="A585" t="s">
        <v>1267</v>
      </c>
      <c r="B585">
        <v>2025</v>
      </c>
      <c r="C585" s="5" t="s">
        <v>581</v>
      </c>
      <c r="D585" t="s">
        <v>35</v>
      </c>
      <c r="E585" s="4">
        <v>6</v>
      </c>
      <c r="F585" t="str">
        <f t="shared" si="36"/>
        <v>Don't Watch</v>
      </c>
      <c r="G585" t="str">
        <f t="shared" si="37"/>
        <v>Avg</v>
      </c>
      <c r="H585" t="str" cm="1">
        <f t="array" ref="H585">_xlfn.IFS(E585&gt;8,"Best",E585=7,"Good",E585&gt;7,"Good",E585&lt;7,"Avg",E585&lt;6,"Below Avg")</f>
        <v>Avg</v>
      </c>
      <c r="I585">
        <v>144</v>
      </c>
      <c r="K585" s="3">
        <v>33178482</v>
      </c>
      <c r="L585" s="3">
        <v>25118988</v>
      </c>
      <c r="M585" s="3">
        <f t="shared" si="38"/>
        <v>8059494</v>
      </c>
      <c r="N585" t="s">
        <v>1268</v>
      </c>
      <c r="O585" t="s">
        <v>1269</v>
      </c>
      <c r="P585" t="s">
        <v>11</v>
      </c>
      <c r="Q585" t="str">
        <f t="shared" si="39"/>
        <v>Kid</v>
      </c>
    </row>
    <row r="586" spans="1:17" x14ac:dyDescent="0.3">
      <c r="A586" t="s">
        <v>1270</v>
      </c>
      <c r="B586">
        <v>2025</v>
      </c>
      <c r="C586" s="5" t="s">
        <v>581</v>
      </c>
      <c r="D586" t="s">
        <v>2</v>
      </c>
      <c r="E586" s="4">
        <v>8.5</v>
      </c>
      <c r="F586" t="str">
        <f t="shared" si="36"/>
        <v>Watch</v>
      </c>
      <c r="G586" t="str">
        <f t="shared" si="37"/>
        <v>Good</v>
      </c>
      <c r="H586" t="str" cm="1">
        <f t="array" ref="H586">_xlfn.IFS(E586&gt;8,"Best",E586=7,"Good",E586&gt;7,"Good",E586&lt;7,"Avg",E586&lt;6,"Below Avg")</f>
        <v>Best</v>
      </c>
      <c r="I586">
        <v>109</v>
      </c>
      <c r="K586" s="3">
        <v>42187170</v>
      </c>
      <c r="L586" s="3">
        <v>11817996</v>
      </c>
      <c r="M586" s="3">
        <f t="shared" si="38"/>
        <v>30369174</v>
      </c>
      <c r="O586" t="s">
        <v>1271</v>
      </c>
      <c r="P586" t="s">
        <v>4</v>
      </c>
      <c r="Q586" t="str">
        <f t="shared" si="39"/>
        <v>Adult</v>
      </c>
    </row>
    <row r="587" spans="1:17" x14ac:dyDescent="0.3">
      <c r="A587" t="s">
        <v>1272</v>
      </c>
      <c r="B587">
        <v>2025</v>
      </c>
      <c r="C587" s="5" t="s">
        <v>581</v>
      </c>
      <c r="D587" t="s">
        <v>39</v>
      </c>
      <c r="E587" s="4">
        <v>6</v>
      </c>
      <c r="F587" t="str">
        <f t="shared" si="36"/>
        <v>Don't Watch</v>
      </c>
      <c r="G587" t="str">
        <f t="shared" si="37"/>
        <v>Avg</v>
      </c>
      <c r="H587" t="str" cm="1">
        <f t="array" ref="H587">_xlfn.IFS(E587&gt;8,"Best",E587=7,"Good",E587&gt;7,"Good",E587&lt;7,"Avg",E587&lt;6,"Below Avg")</f>
        <v>Avg</v>
      </c>
      <c r="I587">
        <v>135</v>
      </c>
      <c r="K587" s="3">
        <v>27899010</v>
      </c>
      <c r="L587" s="3">
        <v>21599340</v>
      </c>
      <c r="M587" s="3">
        <f t="shared" si="38"/>
        <v>6299670</v>
      </c>
      <c r="N587" t="s">
        <v>1273</v>
      </c>
      <c r="O587" t="s">
        <v>1274</v>
      </c>
      <c r="P587" t="s">
        <v>11</v>
      </c>
      <c r="Q587" t="str">
        <f t="shared" si="39"/>
        <v>Kid</v>
      </c>
    </row>
    <row r="588" spans="1:17" x14ac:dyDescent="0.3">
      <c r="A588" t="s">
        <v>1275</v>
      </c>
      <c r="B588">
        <v>2025</v>
      </c>
      <c r="C588" s="5" t="s">
        <v>581</v>
      </c>
      <c r="D588" t="s">
        <v>39</v>
      </c>
      <c r="E588" s="4">
        <v>6.5</v>
      </c>
      <c r="F588" t="str">
        <f t="shared" si="36"/>
        <v>Don't Watch</v>
      </c>
      <c r="G588" t="str">
        <f t="shared" si="37"/>
        <v>Avg</v>
      </c>
      <c r="H588" t="str" cm="1">
        <f t="array" ref="H588">_xlfn.IFS(E588&gt;8,"Best",E588=7,"Good",E588&gt;7,"Good",E588&lt;7,"Avg",E588&lt;6,"Below Avg")</f>
        <v>Avg</v>
      </c>
      <c r="I588">
        <v>110</v>
      </c>
      <c r="K588" s="3">
        <v>26815785</v>
      </c>
      <c r="L588" s="3">
        <v>20877190</v>
      </c>
      <c r="M588" s="3">
        <f t="shared" si="38"/>
        <v>5938595</v>
      </c>
      <c r="O588" t="s">
        <v>1276</v>
      </c>
      <c r="P588" t="s">
        <v>11</v>
      </c>
      <c r="Q588" t="str">
        <f t="shared" si="39"/>
        <v>Kid</v>
      </c>
    </row>
    <row r="589" spans="1:17" x14ac:dyDescent="0.3">
      <c r="A589" t="s">
        <v>1277</v>
      </c>
      <c r="B589">
        <v>2025</v>
      </c>
      <c r="C589" s="5" t="s">
        <v>581</v>
      </c>
      <c r="D589" t="s">
        <v>39</v>
      </c>
      <c r="E589" s="4">
        <v>8</v>
      </c>
      <c r="F589" t="str">
        <f t="shared" si="36"/>
        <v>Watch</v>
      </c>
      <c r="G589" t="str">
        <f t="shared" si="37"/>
        <v>Good</v>
      </c>
      <c r="H589" t="str" cm="1">
        <f t="array" ref="H589">_xlfn.IFS(E589&gt;8,"Best",E589=7,"Good",E589&gt;7,"Good",E589&lt;7,"Avg",E589&lt;6,"Below Avg")</f>
        <v>Good</v>
      </c>
      <c r="I589">
        <v>122</v>
      </c>
      <c r="K589" s="3">
        <v>27855681</v>
      </c>
      <c r="L589" s="3">
        <v>21570454</v>
      </c>
      <c r="M589" s="3">
        <f t="shared" si="38"/>
        <v>6285227</v>
      </c>
      <c r="N589" t="s">
        <v>1278</v>
      </c>
      <c r="O589" t="s">
        <v>14</v>
      </c>
      <c r="P589" t="s">
        <v>11</v>
      </c>
      <c r="Q589" t="str">
        <f t="shared" si="39"/>
        <v>Kid</v>
      </c>
    </row>
    <row r="590" spans="1:17" x14ac:dyDescent="0.3">
      <c r="A590" t="s">
        <v>1279</v>
      </c>
      <c r="B590">
        <v>2025</v>
      </c>
      <c r="C590" s="5" t="s">
        <v>581</v>
      </c>
      <c r="D590" t="s">
        <v>8</v>
      </c>
      <c r="E590" s="4">
        <v>6.7</v>
      </c>
      <c r="F590" t="str">
        <f t="shared" si="36"/>
        <v>Watch</v>
      </c>
      <c r="G590" t="str">
        <f t="shared" si="37"/>
        <v>Avg</v>
      </c>
      <c r="H590" t="str" cm="1">
        <f t="array" ref="H590">_xlfn.IFS(E590&gt;8,"Best",E590=7,"Good",E590&gt;7,"Good",E590&lt;7,"Avg",E590&lt;6,"Below Avg")</f>
        <v>Avg</v>
      </c>
      <c r="I590">
        <v>163</v>
      </c>
      <c r="K590" s="3">
        <v>29242209</v>
      </c>
      <c r="L590" s="3">
        <v>22494806</v>
      </c>
      <c r="M590" s="3">
        <f t="shared" si="38"/>
        <v>6747403</v>
      </c>
      <c r="O590" t="s">
        <v>497</v>
      </c>
      <c r="P590" t="s">
        <v>11</v>
      </c>
      <c r="Q590" t="str">
        <f t="shared" si="39"/>
        <v>Kid</v>
      </c>
    </row>
    <row r="591" spans="1:17" x14ac:dyDescent="0.3">
      <c r="A591" t="s">
        <v>1280</v>
      </c>
      <c r="B591">
        <v>2025</v>
      </c>
      <c r="C591" s="5" t="s">
        <v>581</v>
      </c>
      <c r="D591" t="s">
        <v>31</v>
      </c>
      <c r="E591" s="4">
        <v>6.7</v>
      </c>
      <c r="F591" t="str">
        <f t="shared" si="36"/>
        <v>Watch</v>
      </c>
      <c r="G591" t="str">
        <f t="shared" si="37"/>
        <v>Avg</v>
      </c>
      <c r="H591" t="str" cm="1">
        <f t="array" ref="H591">_xlfn.IFS(E591&gt;8,"Best",E591=7,"Good",E591&gt;7,"Good",E591&lt;7,"Avg",E591&lt;6,"Below Avg")</f>
        <v>Avg</v>
      </c>
      <c r="I591">
        <v>121</v>
      </c>
      <c r="K591" s="3">
        <v>29352198</v>
      </c>
      <c r="L591" s="3">
        <v>22568132</v>
      </c>
      <c r="M591" s="3">
        <f t="shared" si="38"/>
        <v>6784066</v>
      </c>
      <c r="N591" t="s">
        <v>1281</v>
      </c>
      <c r="O591" t="s">
        <v>195</v>
      </c>
      <c r="P591" t="s">
        <v>11</v>
      </c>
      <c r="Q591" t="str">
        <f t="shared" si="39"/>
        <v>Kid</v>
      </c>
    </row>
    <row r="592" spans="1:17" x14ac:dyDescent="0.3">
      <c r="A592" t="s">
        <v>1282</v>
      </c>
      <c r="B592">
        <v>2025</v>
      </c>
      <c r="C592" s="5" t="s">
        <v>581</v>
      </c>
      <c r="D592" t="s">
        <v>27</v>
      </c>
      <c r="E592" s="4">
        <v>7.8</v>
      </c>
      <c r="F592" t="str">
        <f t="shared" si="36"/>
        <v>Watch</v>
      </c>
      <c r="G592" t="str">
        <f t="shared" si="37"/>
        <v>Good</v>
      </c>
      <c r="H592" t="str" cm="1">
        <f t="array" ref="H592">_xlfn.IFS(E592&gt;8,"Best",E592=7,"Good",E592&gt;7,"Good",E592&lt;7,"Avg",E592&lt;6,"Below Avg")</f>
        <v>Good</v>
      </c>
      <c r="I592">
        <v>90</v>
      </c>
      <c r="K592" s="3">
        <v>29498850</v>
      </c>
      <c r="L592" s="3">
        <v>22665900</v>
      </c>
      <c r="M592" s="3">
        <f t="shared" si="38"/>
        <v>6832950</v>
      </c>
      <c r="N592" t="s">
        <v>1283</v>
      </c>
      <c r="O592" t="s">
        <v>413</v>
      </c>
      <c r="P592" t="s">
        <v>11</v>
      </c>
      <c r="Q592" t="str">
        <f t="shared" si="39"/>
        <v>Kid</v>
      </c>
    </row>
    <row r="593" spans="1:17" x14ac:dyDescent="0.3">
      <c r="A593" t="s">
        <v>1284</v>
      </c>
      <c r="B593">
        <v>2025</v>
      </c>
      <c r="C593" s="5" t="s">
        <v>581</v>
      </c>
      <c r="D593" t="s">
        <v>8</v>
      </c>
      <c r="E593" s="4">
        <v>6.6</v>
      </c>
      <c r="F593" t="str">
        <f t="shared" si="36"/>
        <v>Watch</v>
      </c>
      <c r="G593" t="str">
        <f t="shared" si="37"/>
        <v>Avg</v>
      </c>
      <c r="H593" t="str" cm="1">
        <f t="array" ref="H593">_xlfn.IFS(E593&gt;8,"Best",E593=7,"Good",E593&gt;7,"Good",E593&lt;7,"Avg",E593&lt;6,"Below Avg")</f>
        <v>Avg</v>
      </c>
      <c r="I593">
        <v>144</v>
      </c>
      <c r="K593" s="3">
        <v>26929107</v>
      </c>
      <c r="L593" s="3">
        <v>20952738</v>
      </c>
      <c r="M593" s="3">
        <f t="shared" si="38"/>
        <v>5976369</v>
      </c>
      <c r="O593" t="s">
        <v>1285</v>
      </c>
      <c r="P593" t="s">
        <v>11</v>
      </c>
      <c r="Q593" t="str">
        <f t="shared" si="39"/>
        <v>Kid</v>
      </c>
    </row>
    <row r="594" spans="1:17" x14ac:dyDescent="0.3">
      <c r="A594" t="s">
        <v>1286</v>
      </c>
      <c r="B594">
        <v>2025</v>
      </c>
      <c r="C594" s="5" t="s">
        <v>581</v>
      </c>
      <c r="D594" t="s">
        <v>8</v>
      </c>
      <c r="E594" s="4">
        <v>8</v>
      </c>
      <c r="F594" t="str">
        <f t="shared" si="36"/>
        <v>Watch</v>
      </c>
      <c r="G594" t="str">
        <f t="shared" si="37"/>
        <v>Good</v>
      </c>
      <c r="H594" t="str" cm="1">
        <f t="array" ref="H594">_xlfn.IFS(E594&gt;8,"Best",E594=7,"Good",E594&gt;7,"Good",E594&lt;7,"Avg",E594&lt;6,"Below Avg")</f>
        <v>Good</v>
      </c>
      <c r="I594">
        <v>155</v>
      </c>
      <c r="K594" s="3">
        <v>30715395</v>
      </c>
      <c r="L594" s="3">
        <v>23476930</v>
      </c>
      <c r="M594" s="3">
        <f t="shared" si="38"/>
        <v>7238465</v>
      </c>
      <c r="N594" t="s">
        <v>1287</v>
      </c>
      <c r="O594" t="s">
        <v>590</v>
      </c>
      <c r="P594" t="s">
        <v>11</v>
      </c>
      <c r="Q594" t="str">
        <f t="shared" si="39"/>
        <v>Kid</v>
      </c>
    </row>
    <row r="595" spans="1:17" x14ac:dyDescent="0.3">
      <c r="A595" t="s">
        <v>1290</v>
      </c>
      <c r="B595">
        <v>2025</v>
      </c>
      <c r="C595" s="5" t="s">
        <v>581</v>
      </c>
      <c r="D595" t="s">
        <v>93</v>
      </c>
      <c r="E595" s="4">
        <v>6.8</v>
      </c>
      <c r="F595" t="str">
        <f t="shared" si="36"/>
        <v>Watch</v>
      </c>
      <c r="G595" t="str">
        <f t="shared" si="37"/>
        <v>Avg</v>
      </c>
      <c r="H595" t="str" cm="1">
        <f t="array" ref="H595">_xlfn.IFS(E595&gt;8,"Best",E595=7,"Good",E595&gt;7,"Good",E595&lt;7,"Avg",E595&lt;6,"Below Avg")</f>
        <v>Avg</v>
      </c>
      <c r="I595">
        <v>152</v>
      </c>
      <c r="K595" s="3">
        <v>33205146</v>
      </c>
      <c r="L595" s="3">
        <v>25136764</v>
      </c>
      <c r="M595" s="3">
        <f t="shared" si="38"/>
        <v>8068382</v>
      </c>
      <c r="N595" t="s">
        <v>1291</v>
      </c>
      <c r="O595" t="s">
        <v>177</v>
      </c>
      <c r="P595" t="s">
        <v>11</v>
      </c>
      <c r="Q595" t="str">
        <f t="shared" si="39"/>
        <v>Kid</v>
      </c>
    </row>
    <row r="596" spans="1:17" x14ac:dyDescent="0.3">
      <c r="A596" t="s">
        <v>1292</v>
      </c>
      <c r="B596">
        <v>2025</v>
      </c>
      <c r="C596" s="5" t="s">
        <v>581</v>
      </c>
      <c r="D596" t="s">
        <v>8</v>
      </c>
      <c r="E596" s="4">
        <v>8.5</v>
      </c>
      <c r="F596" t="str">
        <f t="shared" si="36"/>
        <v>Watch</v>
      </c>
      <c r="G596" t="str">
        <f t="shared" si="37"/>
        <v>Good</v>
      </c>
      <c r="H596" t="str" cm="1">
        <f t="array" ref="H596">_xlfn.IFS(E596&gt;8,"Best",E596=7,"Good",E596&gt;7,"Good",E596&lt;7,"Avg",E596&lt;6,"Below Avg")</f>
        <v>Best</v>
      </c>
      <c r="I596">
        <v>157</v>
      </c>
      <c r="K596" s="3">
        <v>59219211</v>
      </c>
      <c r="L596" s="3">
        <v>42479474</v>
      </c>
      <c r="M596" s="3">
        <f t="shared" si="38"/>
        <v>16739737</v>
      </c>
      <c r="N596" t="s">
        <v>16</v>
      </c>
      <c r="O596" t="s">
        <v>336</v>
      </c>
      <c r="P596" t="s">
        <v>11</v>
      </c>
      <c r="Q596" t="str">
        <f t="shared" si="39"/>
        <v>Kid</v>
      </c>
    </row>
    <row r="597" spans="1:17" x14ac:dyDescent="0.3">
      <c r="A597" t="s">
        <v>1293</v>
      </c>
      <c r="B597">
        <v>2025</v>
      </c>
      <c r="C597" s="5" t="s">
        <v>581</v>
      </c>
      <c r="D597" t="s">
        <v>127</v>
      </c>
      <c r="E597" s="4">
        <v>8.1999999999999993</v>
      </c>
      <c r="F597" t="str">
        <f t="shared" si="36"/>
        <v>Watch</v>
      </c>
      <c r="G597" t="str">
        <f t="shared" si="37"/>
        <v>Good</v>
      </c>
      <c r="H597" t="str" cm="1">
        <f t="array" ref="H597">_xlfn.IFS(E597&gt;8,"Best",E597=7,"Good",E597&gt;7,"Good",E597&lt;7,"Avg",E597&lt;6,"Below Avg")</f>
        <v>Best</v>
      </c>
      <c r="I597">
        <v>109</v>
      </c>
      <c r="K597" s="3">
        <v>30062127</v>
      </c>
      <c r="L597" s="3">
        <v>23041418</v>
      </c>
      <c r="M597" s="3">
        <f t="shared" si="38"/>
        <v>7020709</v>
      </c>
      <c r="N597" t="s">
        <v>1294</v>
      </c>
      <c r="O597" t="s">
        <v>1295</v>
      </c>
      <c r="P597" t="s">
        <v>11</v>
      </c>
      <c r="Q597" t="str">
        <f t="shared" si="39"/>
        <v>Kid</v>
      </c>
    </row>
    <row r="598" spans="1:17" x14ac:dyDescent="0.3">
      <c r="A598" t="s">
        <v>1296</v>
      </c>
      <c r="B598">
        <v>2025</v>
      </c>
      <c r="C598" s="5" t="s">
        <v>581</v>
      </c>
      <c r="D598" t="s">
        <v>148</v>
      </c>
      <c r="E598" s="4">
        <v>8.9</v>
      </c>
      <c r="F598" t="str">
        <f t="shared" si="36"/>
        <v>Watch</v>
      </c>
      <c r="G598" t="str">
        <f t="shared" si="37"/>
        <v>Best</v>
      </c>
      <c r="H598" t="str" cm="1">
        <f t="array" ref="H598">_xlfn.IFS(E598&gt;8,"Best",E598=7,"Good",E598&gt;7,"Good",E598&lt;7,"Avg",E598&lt;6,"Below Avg")</f>
        <v>Best</v>
      </c>
      <c r="I598">
        <v>140</v>
      </c>
      <c r="K598" s="3">
        <v>41109500</v>
      </c>
      <c r="L598" s="3">
        <v>11578600</v>
      </c>
      <c r="M598" s="3">
        <f t="shared" si="38"/>
        <v>29530900</v>
      </c>
      <c r="O598" t="s">
        <v>1297</v>
      </c>
      <c r="P598" t="s">
        <v>4</v>
      </c>
      <c r="Q598" t="str">
        <f t="shared" si="39"/>
        <v>Adult</v>
      </c>
    </row>
    <row r="599" spans="1:17" x14ac:dyDescent="0.3">
      <c r="A599" t="s">
        <v>1298</v>
      </c>
      <c r="B599">
        <v>2025</v>
      </c>
      <c r="C599" s="5" t="s">
        <v>581</v>
      </c>
      <c r="D599" t="s">
        <v>19</v>
      </c>
      <c r="E599" s="4">
        <v>6.1</v>
      </c>
      <c r="F599" t="str">
        <f t="shared" si="36"/>
        <v>Don't Watch</v>
      </c>
      <c r="G599" t="str">
        <f t="shared" si="37"/>
        <v>Avg</v>
      </c>
      <c r="H599" t="str" cm="1">
        <f t="array" ref="H599">_xlfn.IFS(E599&gt;8,"Best",E599=7,"Good",E599&gt;7,"Good",E599&lt;7,"Avg",E599&lt;6,"Below Avg")</f>
        <v>Avg</v>
      </c>
      <c r="I599">
        <v>91</v>
      </c>
      <c r="K599" s="3">
        <v>29002233</v>
      </c>
      <c r="L599" s="3">
        <v>22334822</v>
      </c>
      <c r="M599" s="3">
        <f t="shared" si="38"/>
        <v>6667411</v>
      </c>
      <c r="N599" t="s">
        <v>1299</v>
      </c>
      <c r="O599" t="s">
        <v>1300</v>
      </c>
      <c r="P599" t="s">
        <v>11</v>
      </c>
      <c r="Q599" t="str">
        <f t="shared" si="39"/>
        <v>Kid</v>
      </c>
    </row>
    <row r="600" spans="1:17" x14ac:dyDescent="0.3">
      <c r="A600" t="s">
        <v>1301</v>
      </c>
      <c r="B600">
        <v>2025</v>
      </c>
      <c r="C600" s="5" t="s">
        <v>581</v>
      </c>
      <c r="D600" t="s">
        <v>2</v>
      </c>
      <c r="E600" s="4">
        <v>7.2</v>
      </c>
      <c r="F600" t="str">
        <f t="shared" si="36"/>
        <v>Watch</v>
      </c>
      <c r="G600" t="str">
        <f t="shared" si="37"/>
        <v>Good</v>
      </c>
      <c r="H600" t="str" cm="1">
        <f t="array" ref="H600">_xlfn.IFS(E600&gt;8,"Best",E600=7,"Good",E600&gt;7,"Good",E600&lt;7,"Avg",E600&lt;6,"Below Avg")</f>
        <v>Good</v>
      </c>
      <c r="I600">
        <v>153</v>
      </c>
      <c r="K600" s="3">
        <v>47431090</v>
      </c>
      <c r="L600" s="3">
        <v>12982892</v>
      </c>
      <c r="M600" s="3">
        <f t="shared" si="38"/>
        <v>34448198</v>
      </c>
      <c r="N600" t="s">
        <v>1302</v>
      </c>
      <c r="O600" t="s">
        <v>1303</v>
      </c>
      <c r="P600" t="s">
        <v>4</v>
      </c>
      <c r="Q600" t="str">
        <f t="shared" si="39"/>
        <v>Adult</v>
      </c>
    </row>
    <row r="601" spans="1:17" x14ac:dyDescent="0.3">
      <c r="A601" t="s">
        <v>1304</v>
      </c>
      <c r="B601">
        <v>2025</v>
      </c>
      <c r="C601" s="5" t="s">
        <v>581</v>
      </c>
      <c r="D601" t="s">
        <v>39</v>
      </c>
      <c r="E601" s="4">
        <v>6.5</v>
      </c>
      <c r="F601" t="str">
        <f t="shared" si="36"/>
        <v>Don't Watch</v>
      </c>
      <c r="G601" t="str">
        <f t="shared" si="37"/>
        <v>Avg</v>
      </c>
      <c r="H601" t="str" cm="1">
        <f t="array" ref="H601">_xlfn.IFS(E601&gt;8,"Best",E601=7,"Good",E601&gt;7,"Good",E601&lt;7,"Avg",E601&lt;6,"Below Avg")</f>
        <v>Avg</v>
      </c>
      <c r="I601">
        <v>107</v>
      </c>
      <c r="K601" s="3">
        <v>27805686</v>
      </c>
      <c r="L601" s="3">
        <v>21537124</v>
      </c>
      <c r="M601" s="3">
        <f t="shared" si="38"/>
        <v>6268562</v>
      </c>
      <c r="N601" t="s">
        <v>1305</v>
      </c>
      <c r="O601" t="s">
        <v>1306</v>
      </c>
      <c r="P601" t="s">
        <v>11</v>
      </c>
      <c r="Q601" t="str">
        <f t="shared" si="39"/>
        <v>Kid</v>
      </c>
    </row>
    <row r="602" spans="1:17" x14ac:dyDescent="0.3">
      <c r="A602" t="s">
        <v>239</v>
      </c>
      <c r="B602">
        <v>2024</v>
      </c>
      <c r="C602" s="5" t="s">
        <v>240</v>
      </c>
      <c r="D602" t="s">
        <v>23</v>
      </c>
      <c r="E602" s="4">
        <v>8.8000000000000007</v>
      </c>
      <c r="F602" t="str">
        <f t="shared" si="36"/>
        <v>Watch</v>
      </c>
      <c r="G602" t="str">
        <f t="shared" si="37"/>
        <v>Best</v>
      </c>
      <c r="H602" t="str" cm="1">
        <f t="array" ref="H602">_xlfn.IFS(E602&gt;8,"Best",E602=7,"Good",E602&gt;7,"Good",E602&lt;7,"Avg",E602&lt;6,"Below Avg")</f>
        <v>Best</v>
      </c>
      <c r="I602">
        <v>157</v>
      </c>
      <c r="K602" s="3">
        <v>27222411</v>
      </c>
      <c r="L602" s="3">
        <v>21148274</v>
      </c>
      <c r="M602" s="3">
        <f t="shared" si="38"/>
        <v>6074137</v>
      </c>
      <c r="O602" t="s">
        <v>241</v>
      </c>
      <c r="P602" t="s">
        <v>11</v>
      </c>
      <c r="Q602" t="str">
        <f t="shared" si="39"/>
        <v>Kid</v>
      </c>
    </row>
    <row r="603" spans="1:17" x14ac:dyDescent="0.3">
      <c r="A603" t="s">
        <v>242</v>
      </c>
      <c r="B603">
        <v>2024</v>
      </c>
      <c r="C603" s="5" t="s">
        <v>240</v>
      </c>
      <c r="D603" t="s">
        <v>61</v>
      </c>
      <c r="E603" s="4">
        <v>8.9</v>
      </c>
      <c r="F603" t="str">
        <f t="shared" si="36"/>
        <v>Watch</v>
      </c>
      <c r="G603" t="str">
        <f t="shared" si="37"/>
        <v>Best</v>
      </c>
      <c r="H603" t="str" cm="1">
        <f t="array" ref="H603">_xlfn.IFS(E603&gt;8,"Best",E603=7,"Good",E603&gt;7,"Good",E603&lt;7,"Avg",E603&lt;6,"Below Avg")</f>
        <v>Best</v>
      </c>
      <c r="I603">
        <v>161</v>
      </c>
      <c r="K603" s="3">
        <v>28985568</v>
      </c>
      <c r="L603" s="3">
        <v>22323712</v>
      </c>
      <c r="M603" s="3">
        <f t="shared" si="38"/>
        <v>6661856</v>
      </c>
      <c r="O603" t="s">
        <v>243</v>
      </c>
      <c r="P603" t="s">
        <v>11</v>
      </c>
      <c r="Q603" t="str">
        <f t="shared" si="39"/>
        <v>Kid</v>
      </c>
    </row>
    <row r="604" spans="1:17" x14ac:dyDescent="0.3">
      <c r="A604" t="s">
        <v>275</v>
      </c>
      <c r="B604">
        <v>2024</v>
      </c>
      <c r="C604" s="5" t="s">
        <v>240</v>
      </c>
      <c r="D604" t="s">
        <v>8</v>
      </c>
      <c r="E604" s="4">
        <v>9.1999999999999993</v>
      </c>
      <c r="F604" t="str">
        <f t="shared" si="36"/>
        <v>Watch</v>
      </c>
      <c r="G604" t="str">
        <f t="shared" si="37"/>
        <v>Best</v>
      </c>
      <c r="H604" t="str" cm="1">
        <f t="array" ref="H604">_xlfn.IFS(E604&gt;8,"Best",E604=7,"Good",E604&gt;7,"Good",E604&lt;7,"Avg",E604&lt;6,"Below Avg")</f>
        <v>Best</v>
      </c>
      <c r="I604">
        <v>95</v>
      </c>
      <c r="K604" s="3">
        <v>27015765</v>
      </c>
      <c r="L604" s="3">
        <v>21010510</v>
      </c>
      <c r="M604" s="3">
        <f t="shared" si="38"/>
        <v>6005255</v>
      </c>
      <c r="N604" t="s">
        <v>276</v>
      </c>
      <c r="O604" t="s">
        <v>277</v>
      </c>
      <c r="P604" t="s">
        <v>11</v>
      </c>
      <c r="Q604" t="str">
        <f t="shared" si="39"/>
        <v>Kid</v>
      </c>
    </row>
    <row r="605" spans="1:17" x14ac:dyDescent="0.3">
      <c r="A605" t="s">
        <v>288</v>
      </c>
      <c r="B605">
        <v>2024</v>
      </c>
      <c r="C605" s="5" t="s">
        <v>240</v>
      </c>
      <c r="D605" t="s">
        <v>61</v>
      </c>
      <c r="E605" s="4">
        <v>8.5</v>
      </c>
      <c r="F605" t="str">
        <f t="shared" si="36"/>
        <v>Watch</v>
      </c>
      <c r="G605" t="str">
        <f t="shared" si="37"/>
        <v>Good</v>
      </c>
      <c r="H605" t="str" cm="1">
        <f t="array" ref="H605">_xlfn.IFS(E605&gt;8,"Best",E605=7,"Good",E605&gt;7,"Good",E605&lt;7,"Avg",E605&lt;6,"Below Avg")</f>
        <v>Best</v>
      </c>
      <c r="I605">
        <v>91</v>
      </c>
      <c r="K605" s="3">
        <v>28752258</v>
      </c>
      <c r="L605" s="3">
        <v>22168172</v>
      </c>
      <c r="M605" s="3">
        <f t="shared" si="38"/>
        <v>6584086</v>
      </c>
      <c r="N605" t="s">
        <v>289</v>
      </c>
      <c r="O605" t="s">
        <v>290</v>
      </c>
      <c r="P605" t="s">
        <v>11</v>
      </c>
      <c r="Q605" t="str">
        <f t="shared" si="39"/>
        <v>Kid</v>
      </c>
    </row>
    <row r="606" spans="1:17" x14ac:dyDescent="0.3">
      <c r="A606" t="s">
        <v>291</v>
      </c>
      <c r="B606">
        <v>2024</v>
      </c>
      <c r="C606" s="5" t="s">
        <v>240</v>
      </c>
      <c r="D606" t="s">
        <v>8</v>
      </c>
      <c r="E606" s="4">
        <v>7.7</v>
      </c>
      <c r="F606" t="str">
        <f t="shared" si="36"/>
        <v>Watch</v>
      </c>
      <c r="G606" t="str">
        <f t="shared" si="37"/>
        <v>Good</v>
      </c>
      <c r="H606" t="str" cm="1">
        <f t="array" ref="H606">_xlfn.IFS(E606&gt;8,"Best",E606=7,"Good",E606&gt;7,"Good",E606&lt;7,"Avg",E606&lt;6,"Below Avg")</f>
        <v>Good</v>
      </c>
      <c r="I606">
        <v>92</v>
      </c>
      <c r="K606" s="3">
        <v>28505616</v>
      </c>
      <c r="L606" s="3">
        <v>22003744</v>
      </c>
      <c r="M606" s="3">
        <f t="shared" si="38"/>
        <v>6501872</v>
      </c>
      <c r="N606" t="s">
        <v>292</v>
      </c>
      <c r="O606" t="s">
        <v>293</v>
      </c>
      <c r="P606" t="s">
        <v>11</v>
      </c>
      <c r="Q606" t="str">
        <f t="shared" si="39"/>
        <v>Kid</v>
      </c>
    </row>
    <row r="607" spans="1:17" x14ac:dyDescent="0.3">
      <c r="A607" t="s">
        <v>244</v>
      </c>
      <c r="B607">
        <v>2024</v>
      </c>
      <c r="C607" s="5" t="s">
        <v>240</v>
      </c>
      <c r="D607" t="s">
        <v>27</v>
      </c>
      <c r="E607" s="4">
        <v>9</v>
      </c>
      <c r="F607" t="str">
        <f t="shared" si="36"/>
        <v>Watch</v>
      </c>
      <c r="G607" t="str">
        <f t="shared" si="37"/>
        <v>Best</v>
      </c>
      <c r="H607" t="str" cm="1">
        <f t="array" ref="H607">_xlfn.IFS(E607&gt;8,"Best",E607=7,"Good",E607&gt;7,"Good",E607&lt;7,"Avg",E607&lt;6,"Below Avg")</f>
        <v>Best</v>
      </c>
      <c r="I607">
        <v>132</v>
      </c>
      <c r="K607" s="3">
        <v>27889011</v>
      </c>
      <c r="L607" s="3">
        <v>21592674</v>
      </c>
      <c r="M607" s="3">
        <f t="shared" si="38"/>
        <v>6296337</v>
      </c>
      <c r="O607" t="s">
        <v>245</v>
      </c>
      <c r="P607" t="s">
        <v>11</v>
      </c>
      <c r="Q607" t="str">
        <f t="shared" si="39"/>
        <v>Kid</v>
      </c>
    </row>
    <row r="608" spans="1:17" x14ac:dyDescent="0.3">
      <c r="A608" t="s">
        <v>246</v>
      </c>
      <c r="B608">
        <v>2024</v>
      </c>
      <c r="C608" s="5" t="s">
        <v>240</v>
      </c>
      <c r="D608" t="s">
        <v>8</v>
      </c>
      <c r="E608" s="4">
        <v>7.2</v>
      </c>
      <c r="F608" t="str">
        <f t="shared" si="36"/>
        <v>Watch</v>
      </c>
      <c r="G608" t="str">
        <f t="shared" si="37"/>
        <v>Good</v>
      </c>
      <c r="H608" t="str" cm="1">
        <f t="array" ref="H608">_xlfn.IFS(E608&gt;8,"Best",E608=7,"Good",E608&gt;7,"Good",E608&lt;7,"Avg",E608&lt;6,"Below Avg")</f>
        <v>Good</v>
      </c>
      <c r="I608">
        <v>114</v>
      </c>
      <c r="K608" s="3">
        <v>27829017</v>
      </c>
      <c r="L608" s="3">
        <v>21552678</v>
      </c>
      <c r="M608" s="3">
        <f t="shared" si="38"/>
        <v>6276339</v>
      </c>
      <c r="O608" t="s">
        <v>112</v>
      </c>
      <c r="P608" t="s">
        <v>11</v>
      </c>
      <c r="Q608" t="str">
        <f t="shared" si="39"/>
        <v>Kid</v>
      </c>
    </row>
    <row r="609" spans="1:17" x14ac:dyDescent="0.3">
      <c r="A609" t="s">
        <v>247</v>
      </c>
      <c r="B609">
        <v>2024</v>
      </c>
      <c r="C609" s="5" t="s">
        <v>240</v>
      </c>
      <c r="D609" t="s">
        <v>27</v>
      </c>
      <c r="E609" s="4">
        <v>8.1</v>
      </c>
      <c r="F609" t="str">
        <f t="shared" si="36"/>
        <v>Watch</v>
      </c>
      <c r="G609" t="str">
        <f t="shared" si="37"/>
        <v>Good</v>
      </c>
      <c r="H609" t="str" cm="1">
        <f t="array" ref="H609">_xlfn.IFS(E609&gt;8,"Best",E609=7,"Good",E609&gt;7,"Good",E609&lt;7,"Avg",E609&lt;6,"Below Avg")</f>
        <v>Best</v>
      </c>
      <c r="I609">
        <v>129</v>
      </c>
      <c r="K609" s="3">
        <v>28628937</v>
      </c>
      <c r="L609" s="3">
        <v>22085958</v>
      </c>
      <c r="M609" s="3">
        <f t="shared" si="38"/>
        <v>6542979</v>
      </c>
      <c r="N609" t="s">
        <v>248</v>
      </c>
      <c r="O609" t="s">
        <v>249</v>
      </c>
      <c r="P609" t="s">
        <v>11</v>
      </c>
      <c r="Q609" t="str">
        <f t="shared" si="39"/>
        <v>Kid</v>
      </c>
    </row>
    <row r="610" spans="1:17" x14ac:dyDescent="0.3">
      <c r="A610" t="s">
        <v>250</v>
      </c>
      <c r="B610">
        <v>2024</v>
      </c>
      <c r="C610" s="5" t="s">
        <v>240</v>
      </c>
      <c r="D610" t="s">
        <v>116</v>
      </c>
      <c r="E610" s="4">
        <v>8.1</v>
      </c>
      <c r="F610" t="str">
        <f t="shared" si="36"/>
        <v>Watch</v>
      </c>
      <c r="G610" t="str">
        <f t="shared" si="37"/>
        <v>Good</v>
      </c>
      <c r="H610" t="str" cm="1">
        <f t="array" ref="H610">_xlfn.IFS(E610&gt;8,"Best",E610=7,"Good",E610&gt;7,"Good",E610&lt;7,"Avg",E610&lt;6,"Below Avg")</f>
        <v>Best</v>
      </c>
      <c r="I610">
        <v>141</v>
      </c>
      <c r="K610" s="3">
        <v>30168783</v>
      </c>
      <c r="L610" s="3">
        <v>23112522</v>
      </c>
      <c r="M610" s="3">
        <f t="shared" si="38"/>
        <v>7056261</v>
      </c>
      <c r="O610" t="s">
        <v>251</v>
      </c>
      <c r="P610" t="s">
        <v>11</v>
      </c>
      <c r="Q610" t="str">
        <f t="shared" si="39"/>
        <v>Kid</v>
      </c>
    </row>
    <row r="611" spans="1:17" x14ac:dyDescent="0.3">
      <c r="A611" t="s">
        <v>252</v>
      </c>
      <c r="B611">
        <v>2024</v>
      </c>
      <c r="C611" s="5" t="s">
        <v>240</v>
      </c>
      <c r="D611" t="s">
        <v>8</v>
      </c>
      <c r="E611" s="4">
        <v>8.9</v>
      </c>
      <c r="F611" t="str">
        <f t="shared" si="36"/>
        <v>Watch</v>
      </c>
      <c r="G611" t="str">
        <f t="shared" si="37"/>
        <v>Best</v>
      </c>
      <c r="H611" t="str" cm="1">
        <f t="array" ref="H611">_xlfn.IFS(E611&gt;8,"Best",E611=7,"Good",E611&gt;7,"Good",E611&lt;7,"Avg",E611&lt;6,"Below Avg")</f>
        <v>Best</v>
      </c>
      <c r="I611">
        <v>143</v>
      </c>
      <c r="K611" s="3">
        <v>62422224</v>
      </c>
      <c r="L611" s="3">
        <v>44614816</v>
      </c>
      <c r="M611" s="3">
        <f t="shared" si="38"/>
        <v>17807408</v>
      </c>
      <c r="N611" t="s">
        <v>253</v>
      </c>
      <c r="O611" t="s">
        <v>254</v>
      </c>
      <c r="P611" t="s">
        <v>11</v>
      </c>
      <c r="Q611" t="str">
        <f t="shared" si="39"/>
        <v>Kid</v>
      </c>
    </row>
    <row r="612" spans="1:17" x14ac:dyDescent="0.3">
      <c r="A612" t="s">
        <v>255</v>
      </c>
      <c r="B612">
        <v>2024</v>
      </c>
      <c r="C612" s="5" t="s">
        <v>240</v>
      </c>
      <c r="D612" t="s">
        <v>8</v>
      </c>
      <c r="E612" s="4">
        <v>8.6</v>
      </c>
      <c r="F612" t="str">
        <f t="shared" si="36"/>
        <v>Watch</v>
      </c>
      <c r="G612" t="str">
        <f t="shared" si="37"/>
        <v>Best</v>
      </c>
      <c r="H612" t="str" cm="1">
        <f t="array" ref="H612">_xlfn.IFS(E612&gt;8,"Best",E612=7,"Good",E612&gt;7,"Good",E612&lt;7,"Avg",E612&lt;6,"Below Avg")</f>
        <v>Best</v>
      </c>
      <c r="I612">
        <v>164</v>
      </c>
      <c r="K612" s="3">
        <v>26995767</v>
      </c>
      <c r="L612" s="3">
        <v>20997178</v>
      </c>
      <c r="M612" s="3">
        <f t="shared" si="38"/>
        <v>5998589</v>
      </c>
      <c r="N612" t="s">
        <v>256</v>
      </c>
      <c r="O612" t="s">
        <v>257</v>
      </c>
      <c r="P612" t="s">
        <v>11</v>
      </c>
      <c r="Q612" t="str">
        <f t="shared" si="39"/>
        <v>Kid</v>
      </c>
    </row>
    <row r="613" spans="1:17" x14ac:dyDescent="0.3">
      <c r="A613" t="s">
        <v>258</v>
      </c>
      <c r="B613">
        <v>2024</v>
      </c>
      <c r="C613" s="5" t="s">
        <v>240</v>
      </c>
      <c r="D613" t="s">
        <v>27</v>
      </c>
      <c r="E613" s="4">
        <v>8.8000000000000007</v>
      </c>
      <c r="F613" t="str">
        <f t="shared" si="36"/>
        <v>Watch</v>
      </c>
      <c r="G613" t="str">
        <f t="shared" si="37"/>
        <v>Best</v>
      </c>
      <c r="H613" t="str" cm="1">
        <f t="array" ref="H613">_xlfn.IFS(E613&gt;8,"Best",E613=7,"Good",E613&gt;7,"Good",E613&lt;7,"Avg",E613&lt;6,"Below Avg")</f>
        <v>Best</v>
      </c>
      <c r="I613">
        <v>106</v>
      </c>
      <c r="K613" s="3">
        <v>30302103</v>
      </c>
      <c r="L613" s="3">
        <v>23201402</v>
      </c>
      <c r="M613" s="3">
        <f t="shared" si="38"/>
        <v>7100701</v>
      </c>
      <c r="O613" t="s">
        <v>259</v>
      </c>
      <c r="P613" t="s">
        <v>11</v>
      </c>
      <c r="Q613" t="str">
        <f t="shared" si="39"/>
        <v>Kid</v>
      </c>
    </row>
    <row r="614" spans="1:17" x14ac:dyDescent="0.3">
      <c r="A614" t="s">
        <v>260</v>
      </c>
      <c r="B614">
        <v>2024</v>
      </c>
      <c r="C614" s="5" t="s">
        <v>240</v>
      </c>
      <c r="D614" t="s">
        <v>148</v>
      </c>
      <c r="E614" s="4">
        <v>6.9</v>
      </c>
      <c r="F614" t="str">
        <f t="shared" si="36"/>
        <v>Watch</v>
      </c>
      <c r="G614" t="str">
        <f t="shared" si="37"/>
        <v>Avg</v>
      </c>
      <c r="H614" t="str" cm="1">
        <f t="array" ref="H614">_xlfn.IFS(E614&gt;8,"Best",E614=7,"Good",E614&gt;7,"Good",E614&lt;7,"Avg",E614&lt;6,"Below Avg")</f>
        <v>Avg</v>
      </c>
      <c r="I614">
        <v>129</v>
      </c>
      <c r="K614" s="3">
        <v>45214645</v>
      </c>
      <c r="L614" s="3">
        <v>12490526</v>
      </c>
      <c r="M614" s="3">
        <f t="shared" si="38"/>
        <v>32724119</v>
      </c>
      <c r="N614" t="s">
        <v>261</v>
      </c>
      <c r="O614" t="s">
        <v>262</v>
      </c>
      <c r="P614" t="s">
        <v>4</v>
      </c>
      <c r="Q614" t="str">
        <f t="shared" si="39"/>
        <v>Adult</v>
      </c>
    </row>
    <row r="615" spans="1:17" x14ac:dyDescent="0.3">
      <c r="A615" t="s">
        <v>263</v>
      </c>
      <c r="B615">
        <v>2024</v>
      </c>
      <c r="C615" s="5" t="s">
        <v>240</v>
      </c>
      <c r="D615" t="s">
        <v>27</v>
      </c>
      <c r="E615" s="4">
        <v>7.6</v>
      </c>
      <c r="F615" t="str">
        <f t="shared" si="36"/>
        <v>Watch</v>
      </c>
      <c r="G615" t="str">
        <f t="shared" si="37"/>
        <v>Good</v>
      </c>
      <c r="H615" t="str" cm="1">
        <f t="array" ref="H615">_xlfn.IFS(E615&gt;8,"Best",E615=7,"Good",E615&gt;7,"Good",E615&lt;7,"Avg",E615&lt;6,"Below Avg")</f>
        <v>Good</v>
      </c>
      <c r="I615">
        <v>100</v>
      </c>
      <c r="K615" s="3">
        <v>33781755</v>
      </c>
      <c r="L615" s="3">
        <v>25521170</v>
      </c>
      <c r="M615" s="3">
        <f t="shared" si="38"/>
        <v>8260585</v>
      </c>
      <c r="N615" t="s">
        <v>264</v>
      </c>
      <c r="O615" t="s">
        <v>265</v>
      </c>
      <c r="P615" t="s">
        <v>11</v>
      </c>
      <c r="Q615" t="str">
        <f t="shared" si="39"/>
        <v>Kid</v>
      </c>
    </row>
    <row r="616" spans="1:17" x14ac:dyDescent="0.3">
      <c r="A616" t="s">
        <v>266</v>
      </c>
      <c r="B616">
        <v>2024</v>
      </c>
      <c r="C616" s="5" t="s">
        <v>240</v>
      </c>
      <c r="D616" t="s">
        <v>8</v>
      </c>
      <c r="E616" s="4">
        <v>8</v>
      </c>
      <c r="F616" t="str">
        <f t="shared" si="36"/>
        <v>Watch</v>
      </c>
      <c r="G616" t="str">
        <f t="shared" si="37"/>
        <v>Good</v>
      </c>
      <c r="H616" t="str" cm="1">
        <f t="array" ref="H616">_xlfn.IFS(E616&gt;8,"Best",E616=7,"Good",E616&gt;7,"Good",E616&lt;7,"Avg",E616&lt;6,"Below Avg")</f>
        <v>Good</v>
      </c>
      <c r="I616">
        <v>95</v>
      </c>
      <c r="K616" s="3">
        <v>28515615</v>
      </c>
      <c r="L616" s="3">
        <v>22010410</v>
      </c>
      <c r="M616" s="3">
        <f t="shared" si="38"/>
        <v>6505205</v>
      </c>
      <c r="O616" t="s">
        <v>268</v>
      </c>
      <c r="P616" t="s">
        <v>11</v>
      </c>
      <c r="Q616" t="str">
        <f t="shared" si="39"/>
        <v>Kid</v>
      </c>
    </row>
    <row r="617" spans="1:17" x14ac:dyDescent="0.3">
      <c r="A617" t="s">
        <v>269</v>
      </c>
      <c r="B617">
        <v>2024</v>
      </c>
      <c r="C617" s="5" t="s">
        <v>240</v>
      </c>
      <c r="D617" t="s">
        <v>39</v>
      </c>
      <c r="E617" s="4">
        <v>6.6</v>
      </c>
      <c r="F617" t="str">
        <f t="shared" si="36"/>
        <v>Watch</v>
      </c>
      <c r="G617" t="str">
        <f t="shared" si="37"/>
        <v>Avg</v>
      </c>
      <c r="H617" t="str" cm="1">
        <f t="array" ref="H617">_xlfn.IFS(E617&gt;8,"Best",E617=7,"Good",E617&gt;7,"Good",E617&lt;7,"Avg",E617&lt;6,"Below Avg")</f>
        <v>Avg</v>
      </c>
      <c r="I617">
        <v>126</v>
      </c>
      <c r="K617" s="3">
        <v>27369063</v>
      </c>
      <c r="L617" s="3">
        <v>21246042</v>
      </c>
      <c r="M617" s="3">
        <f t="shared" si="38"/>
        <v>6123021</v>
      </c>
      <c r="N617" t="s">
        <v>270</v>
      </c>
      <c r="O617" t="s">
        <v>271</v>
      </c>
      <c r="P617" t="s">
        <v>11</v>
      </c>
      <c r="Q617" t="str">
        <f t="shared" si="39"/>
        <v>Kid</v>
      </c>
    </row>
    <row r="618" spans="1:17" x14ac:dyDescent="0.3">
      <c r="A618" t="s">
        <v>272</v>
      </c>
      <c r="B618">
        <v>2024</v>
      </c>
      <c r="C618" s="5" t="s">
        <v>240</v>
      </c>
      <c r="D618" t="s">
        <v>27</v>
      </c>
      <c r="E618" s="4">
        <v>6.2</v>
      </c>
      <c r="F618" t="str">
        <f t="shared" si="36"/>
        <v>Don't Watch</v>
      </c>
      <c r="G618" t="str">
        <f t="shared" si="37"/>
        <v>Avg</v>
      </c>
      <c r="H618" t="str" cm="1">
        <f t="array" ref="H618">_xlfn.IFS(E618&gt;8,"Best",E618=7,"Good",E618&gt;7,"Good",E618&lt;7,"Avg",E618&lt;6,"Below Avg")</f>
        <v>Avg</v>
      </c>
      <c r="I618">
        <v>131</v>
      </c>
      <c r="K618" s="3">
        <v>35384928</v>
      </c>
      <c r="L618" s="3">
        <v>26589952</v>
      </c>
      <c r="M618" s="3">
        <f t="shared" si="38"/>
        <v>8794976</v>
      </c>
      <c r="N618" t="s">
        <v>273</v>
      </c>
      <c r="O618" t="s">
        <v>274</v>
      </c>
      <c r="P618" t="s">
        <v>11</v>
      </c>
      <c r="Q618" t="str">
        <f t="shared" si="39"/>
        <v>Kid</v>
      </c>
    </row>
    <row r="619" spans="1:17" x14ac:dyDescent="0.3">
      <c r="A619" t="s">
        <v>278</v>
      </c>
      <c r="B619">
        <v>2024</v>
      </c>
      <c r="C619" s="5" t="s">
        <v>240</v>
      </c>
      <c r="D619" t="s">
        <v>27</v>
      </c>
      <c r="E619" s="4">
        <v>9.1</v>
      </c>
      <c r="F619" t="str">
        <f t="shared" si="36"/>
        <v>Watch</v>
      </c>
      <c r="G619" t="str">
        <f t="shared" si="37"/>
        <v>Best</v>
      </c>
      <c r="H619" t="str" cm="1">
        <f t="array" ref="H619">_xlfn.IFS(E619&gt;8,"Best",E619=7,"Good",E619&gt;7,"Good",E619&lt;7,"Avg",E619&lt;6,"Below Avg")</f>
        <v>Best</v>
      </c>
      <c r="I619">
        <v>148</v>
      </c>
      <c r="K619" s="3">
        <v>36691464</v>
      </c>
      <c r="L619" s="3">
        <v>27460976</v>
      </c>
      <c r="M619" s="3">
        <f t="shared" si="38"/>
        <v>9230488</v>
      </c>
      <c r="O619" t="s">
        <v>279</v>
      </c>
      <c r="P619" t="s">
        <v>11</v>
      </c>
      <c r="Q619" t="str">
        <f t="shared" si="39"/>
        <v>Kid</v>
      </c>
    </row>
    <row r="620" spans="1:17" x14ac:dyDescent="0.3">
      <c r="A620" t="s">
        <v>280</v>
      </c>
      <c r="B620">
        <v>2024</v>
      </c>
      <c r="C620" s="5" t="s">
        <v>240</v>
      </c>
      <c r="D620" t="s">
        <v>8</v>
      </c>
      <c r="E620" s="4">
        <v>8.6999999999999993</v>
      </c>
      <c r="F620" t="str">
        <f t="shared" si="36"/>
        <v>Watch</v>
      </c>
      <c r="G620" t="str">
        <f t="shared" si="37"/>
        <v>Best</v>
      </c>
      <c r="H620" t="str" cm="1">
        <f t="array" ref="H620">_xlfn.IFS(E620&gt;8,"Best",E620=7,"Good",E620&gt;7,"Good",E620&lt;7,"Avg",E620&lt;6,"Below Avg")</f>
        <v>Best</v>
      </c>
      <c r="I620">
        <v>117</v>
      </c>
      <c r="K620" s="3">
        <v>29088891</v>
      </c>
      <c r="L620" s="3">
        <v>22392594</v>
      </c>
      <c r="M620" s="3">
        <f t="shared" si="38"/>
        <v>6696297</v>
      </c>
      <c r="N620" t="s">
        <v>281</v>
      </c>
      <c r="O620" t="s">
        <v>282</v>
      </c>
      <c r="P620" t="s">
        <v>11</v>
      </c>
      <c r="Q620" t="str">
        <f t="shared" si="39"/>
        <v>Kid</v>
      </c>
    </row>
    <row r="621" spans="1:17" x14ac:dyDescent="0.3">
      <c r="A621" t="s">
        <v>283</v>
      </c>
      <c r="B621">
        <v>2024</v>
      </c>
      <c r="C621" s="5" t="s">
        <v>240</v>
      </c>
      <c r="D621" t="s">
        <v>8</v>
      </c>
      <c r="E621" s="4">
        <v>6.8</v>
      </c>
      <c r="F621" t="str">
        <f t="shared" si="36"/>
        <v>Watch</v>
      </c>
      <c r="G621" t="str">
        <f t="shared" si="37"/>
        <v>Avg</v>
      </c>
      <c r="H621" t="str" cm="1">
        <f t="array" ref="H621">_xlfn.IFS(E621&gt;8,"Best",E621=7,"Good",E621&gt;7,"Good",E621&lt;7,"Avg",E621&lt;6,"Below Avg")</f>
        <v>Avg</v>
      </c>
      <c r="I621">
        <v>110</v>
      </c>
      <c r="K621" s="3">
        <v>27815685</v>
      </c>
      <c r="L621" s="3">
        <v>21543790</v>
      </c>
      <c r="M621" s="3">
        <f t="shared" si="38"/>
        <v>6271895</v>
      </c>
      <c r="O621" t="s">
        <v>284</v>
      </c>
      <c r="P621" t="s">
        <v>11</v>
      </c>
      <c r="Q621" t="str">
        <f t="shared" si="39"/>
        <v>Kid</v>
      </c>
    </row>
    <row r="622" spans="1:17" x14ac:dyDescent="0.3">
      <c r="A622" t="s">
        <v>285</v>
      </c>
      <c r="B622">
        <v>2024</v>
      </c>
      <c r="C622" s="5" t="s">
        <v>240</v>
      </c>
      <c r="D622" t="s">
        <v>2</v>
      </c>
      <c r="E622" s="4">
        <v>6.9</v>
      </c>
      <c r="F622" t="str">
        <f t="shared" si="36"/>
        <v>Watch</v>
      </c>
      <c r="G622" t="str">
        <f t="shared" si="37"/>
        <v>Avg</v>
      </c>
      <c r="H622" t="str" cm="1">
        <f t="array" ref="H622">_xlfn.IFS(E622&gt;8,"Best",E622=7,"Good",E622&gt;7,"Good",E622&lt;7,"Avg",E622&lt;6,"Below Avg")</f>
        <v>Avg</v>
      </c>
      <c r="I622">
        <v>93</v>
      </c>
      <c r="K622" s="3">
        <v>42098290</v>
      </c>
      <c r="L622" s="3">
        <v>11798252</v>
      </c>
      <c r="M622" s="3">
        <f t="shared" si="38"/>
        <v>30300038</v>
      </c>
      <c r="N622" t="s">
        <v>286</v>
      </c>
      <c r="O622" t="s">
        <v>287</v>
      </c>
      <c r="P622" t="s">
        <v>4</v>
      </c>
      <c r="Q622" t="str">
        <f t="shared" si="39"/>
        <v>Adult</v>
      </c>
    </row>
    <row r="623" spans="1:17" x14ac:dyDescent="0.3">
      <c r="A623" t="s">
        <v>294</v>
      </c>
      <c r="B623">
        <v>2024</v>
      </c>
      <c r="C623" s="5" t="s">
        <v>240</v>
      </c>
      <c r="D623" t="s">
        <v>27</v>
      </c>
      <c r="E623" s="4">
        <v>7.8</v>
      </c>
      <c r="F623" t="str">
        <f t="shared" si="36"/>
        <v>Watch</v>
      </c>
      <c r="G623" t="str">
        <f t="shared" si="37"/>
        <v>Good</v>
      </c>
      <c r="H623" t="str" cm="1">
        <f t="array" ref="H623">_xlfn.IFS(E623&gt;8,"Best",E623=7,"Good",E623&gt;7,"Good",E623&lt;7,"Avg",E623&lt;6,"Below Avg")</f>
        <v>Good</v>
      </c>
      <c r="I623">
        <v>132</v>
      </c>
      <c r="K623" s="3">
        <v>29388861</v>
      </c>
      <c r="L623" s="3">
        <v>22592574</v>
      </c>
      <c r="M623" s="3">
        <f t="shared" si="38"/>
        <v>6796287</v>
      </c>
      <c r="N623" t="s">
        <v>295</v>
      </c>
      <c r="O623" t="s">
        <v>296</v>
      </c>
      <c r="P623" t="s">
        <v>11</v>
      </c>
      <c r="Q623" t="str">
        <f t="shared" si="39"/>
        <v>Kid</v>
      </c>
    </row>
    <row r="624" spans="1:17" x14ac:dyDescent="0.3">
      <c r="A624" t="s">
        <v>297</v>
      </c>
      <c r="B624">
        <v>2024</v>
      </c>
      <c r="C624" s="5" t="s">
        <v>240</v>
      </c>
      <c r="D624" t="s">
        <v>35</v>
      </c>
      <c r="E624" s="4">
        <v>7.7</v>
      </c>
      <c r="F624" t="str">
        <f t="shared" si="36"/>
        <v>Watch</v>
      </c>
      <c r="G624" t="str">
        <f t="shared" si="37"/>
        <v>Good</v>
      </c>
      <c r="H624" t="str" cm="1">
        <f t="array" ref="H624">_xlfn.IFS(E624&gt;8,"Best",E624=7,"Good",E624&gt;7,"Good",E624&lt;7,"Avg",E624&lt;6,"Below Avg")</f>
        <v>Good</v>
      </c>
      <c r="I624">
        <v>113</v>
      </c>
      <c r="K624" s="3">
        <v>27075759</v>
      </c>
      <c r="L624" s="3">
        <v>21050506</v>
      </c>
      <c r="M624" s="3">
        <f t="shared" si="38"/>
        <v>6025253</v>
      </c>
      <c r="N624" t="s">
        <v>298</v>
      </c>
      <c r="O624" t="s">
        <v>299</v>
      </c>
      <c r="P624" t="s">
        <v>11</v>
      </c>
      <c r="Q624" t="str">
        <f t="shared" si="39"/>
        <v>Kid</v>
      </c>
    </row>
    <row r="625" spans="1:17" x14ac:dyDescent="0.3">
      <c r="A625" t="s">
        <v>300</v>
      </c>
      <c r="B625">
        <v>2024</v>
      </c>
      <c r="C625" s="5" t="s">
        <v>240</v>
      </c>
      <c r="D625" t="s">
        <v>8</v>
      </c>
      <c r="E625" s="4">
        <v>8.3000000000000007</v>
      </c>
      <c r="F625" t="str">
        <f t="shared" si="36"/>
        <v>Watch</v>
      </c>
      <c r="G625" t="str">
        <f t="shared" si="37"/>
        <v>Good</v>
      </c>
      <c r="H625" t="str" cm="1">
        <f t="array" ref="H625">_xlfn.IFS(E625&gt;8,"Best",E625=7,"Good",E625&gt;7,"Good",E625&lt;7,"Avg",E625&lt;6,"Below Avg")</f>
        <v>Best</v>
      </c>
      <c r="I625">
        <v>95</v>
      </c>
      <c r="K625" s="3">
        <v>26765790</v>
      </c>
      <c r="L625" s="3">
        <v>20843860</v>
      </c>
      <c r="M625" s="3">
        <f t="shared" si="38"/>
        <v>5921930</v>
      </c>
      <c r="N625" t="s">
        <v>301</v>
      </c>
      <c r="O625" t="s">
        <v>302</v>
      </c>
      <c r="P625" t="s">
        <v>11</v>
      </c>
      <c r="Q625" t="str">
        <f t="shared" si="39"/>
        <v>Kid</v>
      </c>
    </row>
    <row r="626" spans="1:17" x14ac:dyDescent="0.3">
      <c r="A626" t="s">
        <v>303</v>
      </c>
      <c r="B626">
        <v>2024</v>
      </c>
      <c r="C626" s="5" t="s">
        <v>240</v>
      </c>
      <c r="D626" t="s">
        <v>304</v>
      </c>
      <c r="E626" s="4">
        <v>7.2</v>
      </c>
      <c r="F626" t="str">
        <f t="shared" si="36"/>
        <v>Watch</v>
      </c>
      <c r="G626" t="str">
        <f t="shared" si="37"/>
        <v>Good</v>
      </c>
      <c r="H626" t="str" cm="1">
        <f t="array" ref="H626">_xlfn.IFS(E626&gt;8,"Best",E626=7,"Good",E626&gt;7,"Good",E626&lt;7,"Avg",E626&lt;6,"Below Avg")</f>
        <v>Good</v>
      </c>
      <c r="I626">
        <v>141</v>
      </c>
      <c r="K626" s="3">
        <v>27169083</v>
      </c>
      <c r="L626" s="3">
        <v>21112722</v>
      </c>
      <c r="M626" s="3">
        <f t="shared" si="38"/>
        <v>6056361</v>
      </c>
      <c r="N626" t="s">
        <v>305</v>
      </c>
      <c r="O626" t="s">
        <v>67</v>
      </c>
      <c r="P626" t="s">
        <v>11</v>
      </c>
      <c r="Q626" t="str">
        <f t="shared" si="39"/>
        <v>Kid</v>
      </c>
    </row>
    <row r="627" spans="1:17" x14ac:dyDescent="0.3">
      <c r="A627" t="s">
        <v>306</v>
      </c>
      <c r="B627">
        <v>2024</v>
      </c>
      <c r="C627" s="5" t="s">
        <v>240</v>
      </c>
      <c r="D627" t="s">
        <v>8</v>
      </c>
      <c r="E627" s="4">
        <v>8.3000000000000007</v>
      </c>
      <c r="F627" t="str">
        <f t="shared" si="36"/>
        <v>Watch</v>
      </c>
      <c r="G627" t="str">
        <f t="shared" si="37"/>
        <v>Good</v>
      </c>
      <c r="H627" t="str" cm="1">
        <f t="array" ref="H627">_xlfn.IFS(E627&gt;8,"Best",E627=7,"Good",E627&gt;7,"Good",E627&lt;7,"Avg",E627&lt;6,"Below Avg")</f>
        <v>Best</v>
      </c>
      <c r="I627">
        <v>152</v>
      </c>
      <c r="K627" s="3">
        <v>29955471</v>
      </c>
      <c r="L627" s="3">
        <v>22970314</v>
      </c>
      <c r="M627" s="3">
        <f t="shared" si="38"/>
        <v>6985157</v>
      </c>
      <c r="N627" t="s">
        <v>307</v>
      </c>
      <c r="O627" t="s">
        <v>112</v>
      </c>
      <c r="P627" t="s">
        <v>11</v>
      </c>
      <c r="Q627" t="str">
        <f t="shared" si="39"/>
        <v>Kid</v>
      </c>
    </row>
    <row r="628" spans="1:17" x14ac:dyDescent="0.3">
      <c r="A628" t="s">
        <v>514</v>
      </c>
      <c r="B628">
        <v>2024</v>
      </c>
      <c r="C628" s="5" t="s">
        <v>499</v>
      </c>
      <c r="D628" t="s">
        <v>35</v>
      </c>
      <c r="E628" s="4">
        <v>8.1</v>
      </c>
      <c r="F628" t="str">
        <f t="shared" si="36"/>
        <v>Watch</v>
      </c>
      <c r="G628" t="str">
        <f t="shared" si="37"/>
        <v>Good</v>
      </c>
      <c r="H628" t="str" cm="1">
        <f t="array" ref="H628">_xlfn.IFS(E628&gt;8,"Best",E628=7,"Good",E628&gt;7,"Good",E628&lt;7,"Avg",E628&lt;6,"Below Avg")</f>
        <v>Best</v>
      </c>
      <c r="I628">
        <v>120</v>
      </c>
      <c r="K628" s="3">
        <v>28848915</v>
      </c>
      <c r="L628" s="3">
        <v>22232610</v>
      </c>
      <c r="M628" s="3">
        <f t="shared" si="38"/>
        <v>6616305</v>
      </c>
      <c r="N628" t="s">
        <v>515</v>
      </c>
      <c r="O628" t="s">
        <v>3</v>
      </c>
      <c r="P628" t="s">
        <v>11</v>
      </c>
      <c r="Q628" t="str">
        <f t="shared" si="39"/>
        <v>Kid</v>
      </c>
    </row>
    <row r="629" spans="1:17" x14ac:dyDescent="0.3">
      <c r="A629" t="s">
        <v>516</v>
      </c>
      <c r="B629">
        <v>2024</v>
      </c>
      <c r="C629" s="5" t="s">
        <v>499</v>
      </c>
      <c r="D629" t="s">
        <v>35</v>
      </c>
      <c r="E629" s="4">
        <v>7.4</v>
      </c>
      <c r="F629" t="str">
        <f t="shared" si="36"/>
        <v>Watch</v>
      </c>
      <c r="G629" t="str">
        <f t="shared" si="37"/>
        <v>Good</v>
      </c>
      <c r="H629" t="str" cm="1">
        <f t="array" ref="H629">_xlfn.IFS(E629&gt;8,"Best",E629=7,"Good",E629&gt;7,"Good",E629&lt;7,"Avg",E629&lt;6,"Below Avg")</f>
        <v>Good</v>
      </c>
      <c r="I629">
        <v>137</v>
      </c>
      <c r="K629" s="3">
        <v>29155551</v>
      </c>
      <c r="L629" s="3">
        <v>22437034</v>
      </c>
      <c r="M629" s="3">
        <f t="shared" si="38"/>
        <v>6718517</v>
      </c>
      <c r="N629" t="s">
        <v>517</v>
      </c>
      <c r="O629" t="s">
        <v>518</v>
      </c>
      <c r="P629" t="s">
        <v>11</v>
      </c>
      <c r="Q629" t="str">
        <f t="shared" si="39"/>
        <v>Kid</v>
      </c>
    </row>
    <row r="630" spans="1:17" x14ac:dyDescent="0.3">
      <c r="A630" t="s">
        <v>522</v>
      </c>
      <c r="B630">
        <v>2024</v>
      </c>
      <c r="C630" s="5" t="s">
        <v>499</v>
      </c>
      <c r="D630" t="s">
        <v>93</v>
      </c>
      <c r="E630" s="4">
        <v>8.4</v>
      </c>
      <c r="F630" t="str">
        <f t="shared" si="36"/>
        <v>Watch</v>
      </c>
      <c r="G630" t="str">
        <f t="shared" si="37"/>
        <v>Good</v>
      </c>
      <c r="H630" t="str" cm="1">
        <f t="array" ref="H630">_xlfn.IFS(E630&gt;8,"Best",E630=7,"Good",E630&gt;7,"Good",E630&lt;7,"Avg",E630&lt;6,"Below Avg")</f>
        <v>Best</v>
      </c>
      <c r="I630">
        <v>93</v>
      </c>
      <c r="K630" s="3">
        <v>30508749</v>
      </c>
      <c r="L630" s="3">
        <v>23339166</v>
      </c>
      <c r="M630" s="3">
        <f t="shared" si="38"/>
        <v>7169583</v>
      </c>
      <c r="N630" t="s">
        <v>523</v>
      </c>
      <c r="O630" t="s">
        <v>524</v>
      </c>
      <c r="P630" t="s">
        <v>11</v>
      </c>
      <c r="Q630" t="str">
        <f t="shared" si="39"/>
        <v>Kid</v>
      </c>
    </row>
    <row r="631" spans="1:17" x14ac:dyDescent="0.3">
      <c r="A631" t="s">
        <v>525</v>
      </c>
      <c r="B631">
        <v>2024</v>
      </c>
      <c r="C631" s="5" t="s">
        <v>499</v>
      </c>
      <c r="D631" t="s">
        <v>35</v>
      </c>
      <c r="E631" s="4">
        <v>6.1</v>
      </c>
      <c r="F631" t="str">
        <f t="shared" si="36"/>
        <v>Don't Watch</v>
      </c>
      <c r="G631" t="str">
        <f t="shared" si="37"/>
        <v>Avg</v>
      </c>
      <c r="H631" t="str" cm="1">
        <f t="array" ref="H631">_xlfn.IFS(E631&gt;8,"Best",E631=7,"Good",E631&gt;7,"Good",E631&lt;7,"Avg",E631&lt;6,"Below Avg")</f>
        <v>Avg</v>
      </c>
      <c r="I631">
        <v>163</v>
      </c>
      <c r="K631" s="3">
        <v>27242409</v>
      </c>
      <c r="L631" s="3">
        <v>21161606</v>
      </c>
      <c r="M631" s="3">
        <f t="shared" si="38"/>
        <v>6080803</v>
      </c>
      <c r="N631" t="s">
        <v>526</v>
      </c>
      <c r="O631" t="s">
        <v>527</v>
      </c>
      <c r="P631" t="s">
        <v>11</v>
      </c>
      <c r="Q631" t="str">
        <f t="shared" si="39"/>
        <v>Kid</v>
      </c>
    </row>
    <row r="632" spans="1:17" x14ac:dyDescent="0.3">
      <c r="A632" t="s">
        <v>528</v>
      </c>
      <c r="B632">
        <v>2024</v>
      </c>
      <c r="C632" s="5" t="s">
        <v>499</v>
      </c>
      <c r="D632" t="s">
        <v>2</v>
      </c>
      <c r="E632" s="4">
        <v>8.9</v>
      </c>
      <c r="F632" t="str">
        <f t="shared" si="36"/>
        <v>Watch</v>
      </c>
      <c r="G632" t="str">
        <f t="shared" si="37"/>
        <v>Best</v>
      </c>
      <c r="H632" t="str" cm="1">
        <f t="array" ref="H632">_xlfn.IFS(E632&gt;8,"Best",E632=7,"Good",E632&gt;7,"Good",E632&lt;7,"Avg",E632&lt;6,"Below Avg")</f>
        <v>Best</v>
      </c>
      <c r="I632">
        <v>152</v>
      </c>
      <c r="K632" s="3">
        <v>43675910</v>
      </c>
      <c r="L632" s="3">
        <v>12148708</v>
      </c>
      <c r="M632" s="3">
        <f t="shared" si="38"/>
        <v>31527202</v>
      </c>
      <c r="O632" t="s">
        <v>529</v>
      </c>
      <c r="P632" t="s">
        <v>4</v>
      </c>
      <c r="Q632" t="str">
        <f t="shared" si="39"/>
        <v>Adult</v>
      </c>
    </row>
    <row r="633" spans="1:17" x14ac:dyDescent="0.3">
      <c r="A633" t="s">
        <v>545</v>
      </c>
      <c r="B633">
        <v>2024</v>
      </c>
      <c r="C633" s="5" t="s">
        <v>499</v>
      </c>
      <c r="D633" t="s">
        <v>19</v>
      </c>
      <c r="E633" s="4">
        <v>8.5</v>
      </c>
      <c r="F633" t="str">
        <f t="shared" si="36"/>
        <v>Watch</v>
      </c>
      <c r="G633" t="str">
        <f t="shared" si="37"/>
        <v>Good</v>
      </c>
      <c r="H633" t="str" cm="1">
        <f t="array" ref="H633">_xlfn.IFS(E633&gt;8,"Best",E633=7,"Good",E633&gt;7,"Good",E633&lt;7,"Avg",E633&lt;6,"Below Avg")</f>
        <v>Best</v>
      </c>
      <c r="I633">
        <v>130</v>
      </c>
      <c r="K633" s="3">
        <v>29632170</v>
      </c>
      <c r="L633" s="3">
        <v>22754780</v>
      </c>
      <c r="M633" s="3">
        <f t="shared" si="38"/>
        <v>6877390</v>
      </c>
      <c r="N633" t="s">
        <v>66</v>
      </c>
      <c r="O633" t="s">
        <v>67</v>
      </c>
      <c r="P633" t="s">
        <v>11</v>
      </c>
      <c r="Q633" t="str">
        <f t="shared" si="39"/>
        <v>Kid</v>
      </c>
    </row>
    <row r="634" spans="1:17" x14ac:dyDescent="0.3">
      <c r="A634" t="s">
        <v>546</v>
      </c>
      <c r="B634">
        <v>2024</v>
      </c>
      <c r="C634" s="5" t="s">
        <v>499</v>
      </c>
      <c r="D634" t="s">
        <v>27</v>
      </c>
      <c r="E634" s="4">
        <v>6.4</v>
      </c>
      <c r="F634" t="str">
        <f t="shared" si="36"/>
        <v>Don't Watch</v>
      </c>
      <c r="G634" t="str">
        <f t="shared" si="37"/>
        <v>Avg</v>
      </c>
      <c r="H634" t="str" cm="1">
        <f t="array" ref="H634">_xlfn.IFS(E634&gt;8,"Best",E634=7,"Good",E634&gt;7,"Good",E634&lt;7,"Avg",E634&lt;6,"Below Avg")</f>
        <v>Avg</v>
      </c>
      <c r="I634">
        <v>109</v>
      </c>
      <c r="K634" s="3">
        <v>26812452</v>
      </c>
      <c r="L634" s="3">
        <v>20874968</v>
      </c>
      <c r="M634" s="3">
        <f t="shared" si="38"/>
        <v>5937484</v>
      </c>
      <c r="O634" t="s">
        <v>547</v>
      </c>
      <c r="P634" t="s">
        <v>11</v>
      </c>
      <c r="Q634" t="str">
        <f t="shared" si="39"/>
        <v>Kid</v>
      </c>
    </row>
    <row r="635" spans="1:17" x14ac:dyDescent="0.3">
      <c r="A635" t="s">
        <v>548</v>
      </c>
      <c r="B635">
        <v>2024</v>
      </c>
      <c r="C635" s="5" t="s">
        <v>499</v>
      </c>
      <c r="D635" t="s">
        <v>19</v>
      </c>
      <c r="E635" s="4">
        <v>8.4</v>
      </c>
      <c r="F635" t="str">
        <f t="shared" si="36"/>
        <v>Watch</v>
      </c>
      <c r="G635" t="str">
        <f t="shared" si="37"/>
        <v>Good</v>
      </c>
      <c r="H635" t="str" cm="1">
        <f t="array" ref="H635">_xlfn.IFS(E635&gt;8,"Best",E635=7,"Good",E635&gt;7,"Good",E635&lt;7,"Avg",E635&lt;6,"Below Avg")</f>
        <v>Best</v>
      </c>
      <c r="I635">
        <v>150</v>
      </c>
      <c r="K635" s="3">
        <v>28198980</v>
      </c>
      <c r="L635" s="3">
        <v>21799320</v>
      </c>
      <c r="M635" s="3">
        <f t="shared" si="38"/>
        <v>6399660</v>
      </c>
      <c r="O635" t="s">
        <v>549</v>
      </c>
      <c r="P635" t="s">
        <v>11</v>
      </c>
      <c r="Q635" t="str">
        <f t="shared" si="39"/>
        <v>Kid</v>
      </c>
    </row>
    <row r="636" spans="1:17" x14ac:dyDescent="0.3">
      <c r="A636" t="s">
        <v>498</v>
      </c>
      <c r="B636">
        <v>2024</v>
      </c>
      <c r="C636" s="5" t="s">
        <v>499</v>
      </c>
      <c r="D636" t="s">
        <v>8</v>
      </c>
      <c r="E636" s="4">
        <v>7.4</v>
      </c>
      <c r="F636" t="str">
        <f t="shared" si="36"/>
        <v>Watch</v>
      </c>
      <c r="G636" t="str">
        <f t="shared" si="37"/>
        <v>Good</v>
      </c>
      <c r="H636" t="str" cm="1">
        <f t="array" ref="H636">_xlfn.IFS(E636&gt;8,"Best",E636=7,"Good",E636&gt;7,"Good",E636&lt;7,"Avg",E636&lt;6,"Below Avg")</f>
        <v>Good</v>
      </c>
      <c r="I636">
        <v>149</v>
      </c>
      <c r="K636" s="3">
        <v>33445122</v>
      </c>
      <c r="L636" s="3">
        <v>25296748</v>
      </c>
      <c r="M636" s="3">
        <f t="shared" si="38"/>
        <v>8148374</v>
      </c>
      <c r="N636" t="s">
        <v>500</v>
      </c>
      <c r="O636" t="s">
        <v>501</v>
      </c>
      <c r="P636" t="s">
        <v>11</v>
      </c>
      <c r="Q636" t="str">
        <f t="shared" si="39"/>
        <v>Kid</v>
      </c>
    </row>
    <row r="637" spans="1:17" x14ac:dyDescent="0.3">
      <c r="A637" t="s">
        <v>502</v>
      </c>
      <c r="B637">
        <v>2024</v>
      </c>
      <c r="C637" s="5" t="s">
        <v>499</v>
      </c>
      <c r="D637" t="s">
        <v>39</v>
      </c>
      <c r="E637" s="4">
        <v>8.1999999999999993</v>
      </c>
      <c r="F637" t="str">
        <f t="shared" si="36"/>
        <v>Watch</v>
      </c>
      <c r="G637" t="str">
        <f t="shared" si="37"/>
        <v>Good</v>
      </c>
      <c r="H637" t="str" cm="1">
        <f t="array" ref="H637">_xlfn.IFS(E637&gt;8,"Best",E637=7,"Good",E637&gt;7,"Good",E637&lt;7,"Avg",E637&lt;6,"Below Avg")</f>
        <v>Best</v>
      </c>
      <c r="I637">
        <v>160</v>
      </c>
      <c r="K637" s="3">
        <v>29732160</v>
      </c>
      <c r="L637" s="3">
        <v>22821440</v>
      </c>
      <c r="M637" s="3">
        <f t="shared" si="38"/>
        <v>6910720</v>
      </c>
      <c r="N637" t="s">
        <v>216</v>
      </c>
      <c r="O637" t="s">
        <v>503</v>
      </c>
      <c r="P637" t="s">
        <v>11</v>
      </c>
      <c r="Q637" t="str">
        <f t="shared" si="39"/>
        <v>Kid</v>
      </c>
    </row>
    <row r="638" spans="1:17" x14ac:dyDescent="0.3">
      <c r="A638" t="s">
        <v>504</v>
      </c>
      <c r="B638">
        <v>2024</v>
      </c>
      <c r="C638" s="5" t="s">
        <v>499</v>
      </c>
      <c r="D638" t="s">
        <v>8</v>
      </c>
      <c r="E638" s="4">
        <v>7.8</v>
      </c>
      <c r="F638" t="str">
        <f t="shared" si="36"/>
        <v>Watch</v>
      </c>
      <c r="G638" t="str">
        <f t="shared" si="37"/>
        <v>Good</v>
      </c>
      <c r="H638" t="str" cm="1">
        <f t="array" ref="H638">_xlfn.IFS(E638&gt;8,"Best",E638=7,"Good",E638&gt;7,"Good",E638&lt;7,"Avg",E638&lt;6,"Below Avg")</f>
        <v>Good</v>
      </c>
      <c r="I638">
        <v>114</v>
      </c>
      <c r="K638" s="3">
        <v>38077992</v>
      </c>
      <c r="L638" s="3">
        <v>28385328</v>
      </c>
      <c r="M638" s="3">
        <f t="shared" si="38"/>
        <v>9692664</v>
      </c>
      <c r="N638" t="s">
        <v>505</v>
      </c>
      <c r="O638" t="s">
        <v>506</v>
      </c>
      <c r="P638" t="s">
        <v>11</v>
      </c>
      <c r="Q638" t="str">
        <f t="shared" si="39"/>
        <v>Kid</v>
      </c>
    </row>
    <row r="639" spans="1:17" x14ac:dyDescent="0.3">
      <c r="A639" t="s">
        <v>507</v>
      </c>
      <c r="B639">
        <v>2024</v>
      </c>
      <c r="C639" s="5" t="s">
        <v>499</v>
      </c>
      <c r="D639" t="s">
        <v>8</v>
      </c>
      <c r="E639" s="4">
        <v>7.7</v>
      </c>
      <c r="F639" t="str">
        <f t="shared" si="36"/>
        <v>Watch</v>
      </c>
      <c r="G639" t="str">
        <f t="shared" si="37"/>
        <v>Good</v>
      </c>
      <c r="H639" t="str" cm="1">
        <f t="array" ref="H639">_xlfn.IFS(E639&gt;8,"Best",E639=7,"Good",E639&gt;7,"Good",E639&lt;7,"Avg",E639&lt;6,"Below Avg")</f>
        <v>Good</v>
      </c>
      <c r="I639">
        <v>137</v>
      </c>
      <c r="K639" s="3">
        <v>27405726</v>
      </c>
      <c r="L639" s="3">
        <v>21270484</v>
      </c>
      <c r="M639" s="3">
        <f t="shared" si="38"/>
        <v>6135242</v>
      </c>
      <c r="O639" t="s">
        <v>497</v>
      </c>
      <c r="P639" t="s">
        <v>11</v>
      </c>
      <c r="Q639" t="str">
        <f t="shared" si="39"/>
        <v>Kid</v>
      </c>
    </row>
    <row r="640" spans="1:17" x14ac:dyDescent="0.3">
      <c r="A640" t="s">
        <v>508</v>
      </c>
      <c r="B640">
        <v>2024</v>
      </c>
      <c r="C640" s="5" t="s">
        <v>499</v>
      </c>
      <c r="D640" t="s">
        <v>8</v>
      </c>
      <c r="E640" s="4">
        <v>8.1999999999999993</v>
      </c>
      <c r="F640" t="str">
        <f t="shared" si="36"/>
        <v>Watch</v>
      </c>
      <c r="G640" t="str">
        <f t="shared" si="37"/>
        <v>Good</v>
      </c>
      <c r="H640" t="str" cm="1">
        <f t="array" ref="H640">_xlfn.IFS(E640&gt;8,"Best",E640=7,"Good",E640&gt;7,"Good",E640&lt;7,"Avg",E640&lt;6,"Below Avg")</f>
        <v>Best</v>
      </c>
      <c r="I640">
        <v>148</v>
      </c>
      <c r="K640" s="3">
        <v>28192314</v>
      </c>
      <c r="L640" s="3">
        <v>21794876</v>
      </c>
      <c r="M640" s="3">
        <f t="shared" si="38"/>
        <v>6397438</v>
      </c>
      <c r="N640" t="s">
        <v>509</v>
      </c>
      <c r="O640" t="s">
        <v>510</v>
      </c>
      <c r="P640" t="s">
        <v>11</v>
      </c>
      <c r="Q640" t="str">
        <f t="shared" si="39"/>
        <v>Kid</v>
      </c>
    </row>
    <row r="641" spans="1:17" x14ac:dyDescent="0.3">
      <c r="A641" t="s">
        <v>511</v>
      </c>
      <c r="B641">
        <v>2024</v>
      </c>
      <c r="C641" s="5" t="s">
        <v>499</v>
      </c>
      <c r="D641" t="s">
        <v>39</v>
      </c>
      <c r="E641" s="4">
        <v>7.3</v>
      </c>
      <c r="F641" t="str">
        <f t="shared" si="36"/>
        <v>Watch</v>
      </c>
      <c r="G641" t="str">
        <f t="shared" si="37"/>
        <v>Good</v>
      </c>
      <c r="H641" t="str" cm="1">
        <f t="array" ref="H641">_xlfn.IFS(E641&gt;8,"Best",E641=7,"Good",E641&gt;7,"Good",E641&lt;7,"Avg",E641&lt;6,"Below Avg")</f>
        <v>Good</v>
      </c>
      <c r="I641">
        <v>109</v>
      </c>
      <c r="K641" s="3">
        <v>32561877</v>
      </c>
      <c r="L641" s="3">
        <v>24707918</v>
      </c>
      <c r="M641" s="3">
        <f t="shared" si="38"/>
        <v>7853959</v>
      </c>
      <c r="N641" t="s">
        <v>512</v>
      </c>
      <c r="O641" t="s">
        <v>513</v>
      </c>
      <c r="P641" t="s">
        <v>11</v>
      </c>
      <c r="Q641" t="str">
        <f t="shared" si="39"/>
        <v>Kid</v>
      </c>
    </row>
    <row r="642" spans="1:17" x14ac:dyDescent="0.3">
      <c r="A642" t="s">
        <v>519</v>
      </c>
      <c r="B642">
        <v>2024</v>
      </c>
      <c r="C642" s="5" t="s">
        <v>499</v>
      </c>
      <c r="D642" t="s">
        <v>8</v>
      </c>
      <c r="E642" s="4">
        <v>8.5</v>
      </c>
      <c r="F642" t="str">
        <f t="shared" ref="F642:F705" si="40">IF(E642&gt;6.5,"Watch","Don't Watch")</f>
        <v>Watch</v>
      </c>
      <c r="G642" t="str">
        <f t="shared" ref="G642:G705" si="41">IF(E642&gt;8.5,"Best",IF(E642&gt;7,"Good",IF(E642&gt;5,"Avg",IF(E642&lt;5,"Below Avg",IF(E642&lt;3,"Bad",)))))</f>
        <v>Good</v>
      </c>
      <c r="H642" t="str" cm="1">
        <f t="array" ref="H642">_xlfn.IFS(E642&gt;8,"Best",E642=7,"Good",E642&gt;7,"Good",E642&lt;7,"Avg",E642&lt;6,"Below Avg")</f>
        <v>Best</v>
      </c>
      <c r="I642">
        <v>100</v>
      </c>
      <c r="K642" s="3">
        <v>28532280</v>
      </c>
      <c r="L642" s="3">
        <v>22021520</v>
      </c>
      <c r="M642" s="3">
        <f t="shared" ref="M642:M705" si="42" xml:space="preserve"> (K642-L642)</f>
        <v>6510760</v>
      </c>
      <c r="O642" t="s">
        <v>520</v>
      </c>
      <c r="P642" t="s">
        <v>11</v>
      </c>
      <c r="Q642" t="str">
        <f t="shared" ref="Q642:Q705" si="43">IF(P642="R","Adult","Kid")</f>
        <v>Kid</v>
      </c>
    </row>
    <row r="643" spans="1:17" x14ac:dyDescent="0.3">
      <c r="A643" t="s">
        <v>521</v>
      </c>
      <c r="B643">
        <v>2024</v>
      </c>
      <c r="C643" s="5" t="s">
        <v>499</v>
      </c>
      <c r="D643" t="s">
        <v>35</v>
      </c>
      <c r="E643" s="4">
        <v>6.4</v>
      </c>
      <c r="F643" t="str">
        <f t="shared" si="40"/>
        <v>Don't Watch</v>
      </c>
      <c r="G643" t="str">
        <f t="shared" si="41"/>
        <v>Avg</v>
      </c>
      <c r="H643" t="str" cm="1">
        <f t="array" ref="H643">_xlfn.IFS(E643&gt;8,"Best",E643=7,"Good",E643&gt;7,"Good",E643&lt;7,"Avg",E643&lt;6,"Below Avg")</f>
        <v>Avg</v>
      </c>
      <c r="I643">
        <v>133</v>
      </c>
      <c r="K643" s="3">
        <v>27142419</v>
      </c>
      <c r="L643" s="3">
        <v>21094946</v>
      </c>
      <c r="M643" s="3">
        <f t="shared" si="42"/>
        <v>6047473</v>
      </c>
      <c r="O643" t="s">
        <v>67</v>
      </c>
      <c r="P643" t="s">
        <v>11</v>
      </c>
      <c r="Q643" t="str">
        <f t="shared" si="43"/>
        <v>Kid</v>
      </c>
    </row>
    <row r="644" spans="1:17" x14ac:dyDescent="0.3">
      <c r="A644" t="s">
        <v>530</v>
      </c>
      <c r="B644">
        <v>2024</v>
      </c>
      <c r="C644" s="5" t="s">
        <v>499</v>
      </c>
      <c r="D644" t="s">
        <v>61</v>
      </c>
      <c r="E644" s="4">
        <v>8.8000000000000007</v>
      </c>
      <c r="F644" t="str">
        <f t="shared" si="40"/>
        <v>Watch</v>
      </c>
      <c r="G644" t="str">
        <f t="shared" si="41"/>
        <v>Best</v>
      </c>
      <c r="H644" t="str" cm="1">
        <f t="array" ref="H644">_xlfn.IFS(E644&gt;8,"Best",E644=7,"Good",E644&gt;7,"Good",E644&lt;7,"Avg",E644&lt;6,"Below Avg")</f>
        <v>Best</v>
      </c>
      <c r="I644">
        <v>106</v>
      </c>
      <c r="K644" s="3">
        <v>27552378</v>
      </c>
      <c r="L644" s="3">
        <v>21368252</v>
      </c>
      <c r="M644" s="3">
        <f t="shared" si="42"/>
        <v>6184126</v>
      </c>
      <c r="N644" t="s">
        <v>531</v>
      </c>
      <c r="O644" t="s">
        <v>532</v>
      </c>
      <c r="P644" t="s">
        <v>11</v>
      </c>
      <c r="Q644" t="str">
        <f t="shared" si="43"/>
        <v>Kid</v>
      </c>
    </row>
    <row r="645" spans="1:17" x14ac:dyDescent="0.3">
      <c r="A645" t="s">
        <v>533</v>
      </c>
      <c r="B645">
        <v>2024</v>
      </c>
      <c r="C645" s="5" t="s">
        <v>499</v>
      </c>
      <c r="D645" t="s">
        <v>49</v>
      </c>
      <c r="E645" s="4">
        <v>6.2</v>
      </c>
      <c r="F645" t="str">
        <f t="shared" si="40"/>
        <v>Don't Watch</v>
      </c>
      <c r="G645" t="str">
        <f t="shared" si="41"/>
        <v>Avg</v>
      </c>
      <c r="H645" t="str" cm="1">
        <f t="array" ref="H645">_xlfn.IFS(E645&gt;8,"Best",E645=7,"Good",E645&gt;7,"Good",E645&lt;7,"Avg",E645&lt;6,"Below Avg")</f>
        <v>Avg</v>
      </c>
      <c r="I645">
        <v>107</v>
      </c>
      <c r="K645" s="3">
        <v>29555511</v>
      </c>
      <c r="L645" s="3">
        <v>22703674</v>
      </c>
      <c r="M645" s="3">
        <f t="shared" si="42"/>
        <v>6851837</v>
      </c>
      <c r="N645" t="s">
        <v>534</v>
      </c>
      <c r="O645" t="s">
        <v>120</v>
      </c>
      <c r="P645" t="s">
        <v>11</v>
      </c>
      <c r="Q645" t="str">
        <f t="shared" si="43"/>
        <v>Kid</v>
      </c>
    </row>
    <row r="646" spans="1:17" x14ac:dyDescent="0.3">
      <c r="A646" t="s">
        <v>535</v>
      </c>
      <c r="B646">
        <v>2024</v>
      </c>
      <c r="C646" s="5" t="s">
        <v>499</v>
      </c>
      <c r="D646" t="s">
        <v>65</v>
      </c>
      <c r="E646" s="4">
        <v>6.2</v>
      </c>
      <c r="F646" t="str">
        <f t="shared" si="40"/>
        <v>Don't Watch</v>
      </c>
      <c r="G646" t="str">
        <f t="shared" si="41"/>
        <v>Avg</v>
      </c>
      <c r="H646" t="str" cm="1">
        <f t="array" ref="H646">_xlfn.IFS(E646&gt;8,"Best",E646=7,"Good",E646&gt;7,"Good",E646&lt;7,"Avg",E646&lt;6,"Below Avg")</f>
        <v>Avg</v>
      </c>
      <c r="I646">
        <v>155</v>
      </c>
      <c r="K646" s="3">
        <v>27465720</v>
      </c>
      <c r="L646" s="3">
        <v>21310480</v>
      </c>
      <c r="M646" s="3">
        <f t="shared" si="42"/>
        <v>6155240</v>
      </c>
      <c r="O646" t="s">
        <v>83</v>
      </c>
      <c r="P646" t="s">
        <v>11</v>
      </c>
      <c r="Q646" t="str">
        <f t="shared" si="43"/>
        <v>Kid</v>
      </c>
    </row>
    <row r="647" spans="1:17" x14ac:dyDescent="0.3">
      <c r="A647" t="s">
        <v>536</v>
      </c>
      <c r="B647">
        <v>2024</v>
      </c>
      <c r="C647" s="5" t="s">
        <v>499</v>
      </c>
      <c r="D647" t="s">
        <v>27</v>
      </c>
      <c r="E647" s="4">
        <v>6.7</v>
      </c>
      <c r="F647" t="str">
        <f t="shared" si="40"/>
        <v>Watch</v>
      </c>
      <c r="G647" t="str">
        <f t="shared" si="41"/>
        <v>Avg</v>
      </c>
      <c r="H647" t="str" cm="1">
        <f t="array" ref="H647">_xlfn.IFS(E647&gt;8,"Best",E647=7,"Good",E647&gt;7,"Good",E647&lt;7,"Avg",E647&lt;6,"Below Avg")</f>
        <v>Avg</v>
      </c>
      <c r="I647">
        <v>112</v>
      </c>
      <c r="K647" s="3">
        <v>26822451</v>
      </c>
      <c r="L647" s="3">
        <v>20881634</v>
      </c>
      <c r="M647" s="3">
        <f t="shared" si="42"/>
        <v>5940817</v>
      </c>
      <c r="N647" t="s">
        <v>537</v>
      </c>
      <c r="O647" t="s">
        <v>538</v>
      </c>
      <c r="P647" t="s">
        <v>11</v>
      </c>
      <c r="Q647" t="str">
        <f t="shared" si="43"/>
        <v>Kid</v>
      </c>
    </row>
    <row r="648" spans="1:17" x14ac:dyDescent="0.3">
      <c r="A648" t="s">
        <v>539</v>
      </c>
      <c r="B648">
        <v>2024</v>
      </c>
      <c r="C648" s="5" t="s">
        <v>499</v>
      </c>
      <c r="D648" t="s">
        <v>27</v>
      </c>
      <c r="E648" s="4">
        <v>8.1</v>
      </c>
      <c r="F648" t="str">
        <f t="shared" si="40"/>
        <v>Watch</v>
      </c>
      <c r="G648" t="str">
        <f t="shared" si="41"/>
        <v>Good</v>
      </c>
      <c r="H648" t="str" cm="1">
        <f t="array" ref="H648">_xlfn.IFS(E648&gt;8,"Best",E648=7,"Good",E648&gt;7,"Good",E648&lt;7,"Avg",E648&lt;6,"Below Avg")</f>
        <v>Best</v>
      </c>
      <c r="I648">
        <v>153</v>
      </c>
      <c r="K648" s="3">
        <v>28958904</v>
      </c>
      <c r="L648" s="3">
        <v>22305936</v>
      </c>
      <c r="M648" s="3">
        <f t="shared" si="42"/>
        <v>6652968</v>
      </c>
      <c r="N648" t="s">
        <v>540</v>
      </c>
      <c r="O648" t="s">
        <v>59</v>
      </c>
      <c r="P648" t="s">
        <v>11</v>
      </c>
      <c r="Q648" t="str">
        <f t="shared" si="43"/>
        <v>Kid</v>
      </c>
    </row>
    <row r="649" spans="1:17" x14ac:dyDescent="0.3">
      <c r="A649" t="s">
        <v>541</v>
      </c>
      <c r="B649">
        <v>2024</v>
      </c>
      <c r="C649" s="5" t="s">
        <v>499</v>
      </c>
      <c r="D649" t="s">
        <v>27</v>
      </c>
      <c r="E649" s="4">
        <v>8.6</v>
      </c>
      <c r="F649" t="str">
        <f t="shared" si="40"/>
        <v>Watch</v>
      </c>
      <c r="G649" t="str">
        <f t="shared" si="41"/>
        <v>Best</v>
      </c>
      <c r="H649" t="str" cm="1">
        <f t="array" ref="H649">_xlfn.IFS(E649&gt;8,"Best",E649=7,"Good",E649&gt;7,"Good",E649&lt;7,"Avg",E649&lt;6,"Below Avg")</f>
        <v>Best</v>
      </c>
      <c r="I649">
        <v>134</v>
      </c>
      <c r="K649" s="3">
        <v>39644502</v>
      </c>
      <c r="L649" s="3">
        <v>29429668</v>
      </c>
      <c r="M649" s="3">
        <f t="shared" si="42"/>
        <v>10214834</v>
      </c>
      <c r="N649" t="s">
        <v>542</v>
      </c>
      <c r="O649" t="s">
        <v>543</v>
      </c>
      <c r="P649" t="s">
        <v>11</v>
      </c>
      <c r="Q649" t="str">
        <f t="shared" si="43"/>
        <v>Kid</v>
      </c>
    </row>
    <row r="650" spans="1:17" x14ac:dyDescent="0.3">
      <c r="A650" t="s">
        <v>544</v>
      </c>
      <c r="B650">
        <v>2024</v>
      </c>
      <c r="C650" s="5" t="s">
        <v>499</v>
      </c>
      <c r="D650" t="s">
        <v>8</v>
      </c>
      <c r="E650" s="4">
        <v>7.2</v>
      </c>
      <c r="F650" t="str">
        <f t="shared" si="40"/>
        <v>Watch</v>
      </c>
      <c r="G650" t="str">
        <f t="shared" si="41"/>
        <v>Good</v>
      </c>
      <c r="H650" t="str" cm="1">
        <f t="array" ref="H650">_xlfn.IFS(E650&gt;8,"Best",E650=7,"Good",E650&gt;7,"Good",E650&lt;7,"Avg",E650&lt;6,"Below Avg")</f>
        <v>Good</v>
      </c>
      <c r="I650">
        <v>147</v>
      </c>
      <c r="K650" s="3">
        <v>27939006</v>
      </c>
      <c r="L650" s="3">
        <v>21626004</v>
      </c>
      <c r="M650" s="3">
        <f t="shared" si="42"/>
        <v>6313002</v>
      </c>
      <c r="O650" t="s">
        <v>195</v>
      </c>
      <c r="P650" t="s">
        <v>11</v>
      </c>
      <c r="Q650" t="str">
        <f t="shared" si="43"/>
        <v>Kid</v>
      </c>
    </row>
    <row r="651" spans="1:17" x14ac:dyDescent="0.3">
      <c r="A651" t="s">
        <v>550</v>
      </c>
      <c r="B651">
        <v>2024</v>
      </c>
      <c r="C651" s="5" t="s">
        <v>499</v>
      </c>
      <c r="D651" t="s">
        <v>8</v>
      </c>
      <c r="E651" s="4">
        <v>7.7</v>
      </c>
      <c r="F651" t="str">
        <f t="shared" si="40"/>
        <v>Watch</v>
      </c>
      <c r="G651" t="str">
        <f t="shared" si="41"/>
        <v>Good</v>
      </c>
      <c r="H651" t="str" cm="1">
        <f t="array" ref="H651">_xlfn.IFS(E651&gt;8,"Best",E651=7,"Good",E651&gt;7,"Good",E651&lt;7,"Avg",E651&lt;6,"Below Avg")</f>
        <v>Good</v>
      </c>
      <c r="I651">
        <v>146</v>
      </c>
      <c r="K651" s="3">
        <v>27185748</v>
      </c>
      <c r="L651" s="3">
        <v>21123832</v>
      </c>
      <c r="M651" s="3">
        <f t="shared" si="42"/>
        <v>6061916</v>
      </c>
      <c r="N651" t="s">
        <v>551</v>
      </c>
      <c r="O651" t="s">
        <v>552</v>
      </c>
      <c r="P651" t="s">
        <v>11</v>
      </c>
      <c r="Q651" t="str">
        <f t="shared" si="43"/>
        <v>Kid</v>
      </c>
    </row>
    <row r="652" spans="1:17" x14ac:dyDescent="0.3">
      <c r="A652" t="s">
        <v>553</v>
      </c>
      <c r="B652">
        <v>2024</v>
      </c>
      <c r="C652" s="5" t="s">
        <v>499</v>
      </c>
      <c r="D652" t="s">
        <v>8</v>
      </c>
      <c r="E652" s="4">
        <v>7.9</v>
      </c>
      <c r="F652" t="str">
        <f t="shared" si="40"/>
        <v>Watch</v>
      </c>
      <c r="G652" t="str">
        <f t="shared" si="41"/>
        <v>Good</v>
      </c>
      <c r="H652" t="str" cm="1">
        <f t="array" ref="H652">_xlfn.IFS(E652&gt;8,"Best",E652=7,"Good",E652&gt;7,"Good",E652&lt;7,"Avg",E652&lt;6,"Below Avg")</f>
        <v>Good</v>
      </c>
      <c r="I652">
        <v>121</v>
      </c>
      <c r="K652" s="3">
        <v>27852348</v>
      </c>
      <c r="L652" s="3">
        <v>21568232</v>
      </c>
      <c r="M652" s="3">
        <f t="shared" si="42"/>
        <v>6284116</v>
      </c>
      <c r="N652" t="s">
        <v>554</v>
      </c>
      <c r="O652" t="s">
        <v>555</v>
      </c>
      <c r="P652" t="s">
        <v>11</v>
      </c>
      <c r="Q652" t="str">
        <f t="shared" si="43"/>
        <v>Kid</v>
      </c>
    </row>
    <row r="653" spans="1:17" x14ac:dyDescent="0.3">
      <c r="A653" t="s">
        <v>556</v>
      </c>
      <c r="B653">
        <v>2024</v>
      </c>
      <c r="C653" s="5" t="s">
        <v>499</v>
      </c>
      <c r="D653" t="s">
        <v>8</v>
      </c>
      <c r="E653" s="4">
        <v>8.4</v>
      </c>
      <c r="F653" t="str">
        <f t="shared" si="40"/>
        <v>Watch</v>
      </c>
      <c r="G653" t="str">
        <f t="shared" si="41"/>
        <v>Good</v>
      </c>
      <c r="H653" t="str" cm="1">
        <f t="array" ref="H653">_xlfn.IFS(E653&gt;8,"Best",E653=7,"Good",E653&gt;7,"Good",E653&lt;7,"Avg",E653&lt;6,"Below Avg")</f>
        <v>Best</v>
      </c>
      <c r="I653">
        <v>102</v>
      </c>
      <c r="K653" s="3">
        <v>35788221</v>
      </c>
      <c r="L653" s="3">
        <v>26858814</v>
      </c>
      <c r="M653" s="3">
        <f t="shared" si="42"/>
        <v>8929407</v>
      </c>
      <c r="O653" t="s">
        <v>557</v>
      </c>
      <c r="P653" t="s">
        <v>11</v>
      </c>
      <c r="Q653" t="str">
        <f t="shared" si="43"/>
        <v>Kid</v>
      </c>
    </row>
    <row r="654" spans="1:17" x14ac:dyDescent="0.3">
      <c r="A654" t="s">
        <v>558</v>
      </c>
      <c r="B654">
        <v>2024</v>
      </c>
      <c r="C654" s="5" t="s">
        <v>499</v>
      </c>
      <c r="D654" t="s">
        <v>39</v>
      </c>
      <c r="E654" s="4">
        <v>7</v>
      </c>
      <c r="F654" t="str">
        <f t="shared" si="40"/>
        <v>Watch</v>
      </c>
      <c r="G654" t="str">
        <f t="shared" si="41"/>
        <v>Avg</v>
      </c>
      <c r="H654" t="str" cm="1">
        <f t="array" ref="H654">_xlfn.IFS(E654&gt;8,"Best",E654=7,"Good",E654&gt;7,"Good",E654&lt;7,"Avg",E654&lt;6,"Below Avg")</f>
        <v>Good</v>
      </c>
      <c r="I654">
        <v>142</v>
      </c>
      <c r="K654" s="3">
        <v>28922241</v>
      </c>
      <c r="L654" s="3">
        <v>22281494</v>
      </c>
      <c r="M654" s="3">
        <f t="shared" si="42"/>
        <v>6640747</v>
      </c>
      <c r="N654" t="s">
        <v>559</v>
      </c>
      <c r="O654" t="s">
        <v>336</v>
      </c>
      <c r="P654" t="s">
        <v>11</v>
      </c>
      <c r="Q654" t="str">
        <f t="shared" si="43"/>
        <v>Kid</v>
      </c>
    </row>
    <row r="655" spans="1:17" x14ac:dyDescent="0.3">
      <c r="A655" t="s">
        <v>560</v>
      </c>
      <c r="B655">
        <v>2024</v>
      </c>
      <c r="C655" s="5" t="s">
        <v>499</v>
      </c>
      <c r="D655" t="s">
        <v>27</v>
      </c>
      <c r="E655" s="4">
        <v>8.5</v>
      </c>
      <c r="F655" t="str">
        <f t="shared" si="40"/>
        <v>Watch</v>
      </c>
      <c r="G655" t="str">
        <f t="shared" si="41"/>
        <v>Good</v>
      </c>
      <c r="H655" t="str" cm="1">
        <f t="array" ref="H655">_xlfn.IFS(E655&gt;8,"Best",E655=7,"Good",E655&gt;7,"Good",E655&lt;7,"Avg",E655&lt;6,"Below Avg")</f>
        <v>Best</v>
      </c>
      <c r="I655">
        <v>118</v>
      </c>
      <c r="K655" s="3">
        <v>30842049</v>
      </c>
      <c r="L655" s="3">
        <v>23561366</v>
      </c>
      <c r="M655" s="3">
        <f t="shared" si="42"/>
        <v>7280683</v>
      </c>
      <c r="O655" t="s">
        <v>561</v>
      </c>
      <c r="P655" t="s">
        <v>11</v>
      </c>
      <c r="Q655" t="str">
        <f t="shared" si="43"/>
        <v>Kid</v>
      </c>
    </row>
    <row r="656" spans="1:17" x14ac:dyDescent="0.3">
      <c r="A656" t="s">
        <v>562</v>
      </c>
      <c r="B656">
        <v>2024</v>
      </c>
      <c r="C656" s="5" t="s">
        <v>499</v>
      </c>
      <c r="D656" t="s">
        <v>39</v>
      </c>
      <c r="E656" s="4">
        <v>6.6</v>
      </c>
      <c r="F656" t="str">
        <f t="shared" si="40"/>
        <v>Watch</v>
      </c>
      <c r="G656" t="str">
        <f t="shared" si="41"/>
        <v>Avg</v>
      </c>
      <c r="H656" t="str" cm="1">
        <f t="array" ref="H656">_xlfn.IFS(E656&gt;8,"Best",E656=7,"Good",E656&gt;7,"Good",E656&lt;7,"Avg",E656&lt;6,"Below Avg")</f>
        <v>Avg</v>
      </c>
      <c r="I656">
        <v>159</v>
      </c>
      <c r="K656" s="3">
        <v>27479052</v>
      </c>
      <c r="L656" s="3">
        <v>21319368</v>
      </c>
      <c r="M656" s="3">
        <f t="shared" si="42"/>
        <v>6159684</v>
      </c>
      <c r="O656" t="s">
        <v>563</v>
      </c>
      <c r="P656" t="s">
        <v>11</v>
      </c>
      <c r="Q656" t="str">
        <f t="shared" si="43"/>
        <v>Kid</v>
      </c>
    </row>
    <row r="657" spans="1:17" x14ac:dyDescent="0.3">
      <c r="A657" t="s">
        <v>564</v>
      </c>
      <c r="B657">
        <v>2024</v>
      </c>
      <c r="C657" s="5" t="s">
        <v>499</v>
      </c>
      <c r="D657" t="s">
        <v>8</v>
      </c>
      <c r="E657" s="4">
        <v>8.1999999999999993</v>
      </c>
      <c r="F657" t="str">
        <f t="shared" si="40"/>
        <v>Watch</v>
      </c>
      <c r="G657" t="str">
        <f t="shared" si="41"/>
        <v>Good</v>
      </c>
      <c r="H657" t="str" cm="1">
        <f t="array" ref="H657">_xlfn.IFS(E657&gt;8,"Best",E657=7,"Good",E657&gt;7,"Good",E657&lt;7,"Avg",E657&lt;6,"Below Avg")</f>
        <v>Best</v>
      </c>
      <c r="I657">
        <v>154</v>
      </c>
      <c r="K657" s="3">
        <v>28962237</v>
      </c>
      <c r="L657" s="3">
        <v>22308158</v>
      </c>
      <c r="M657" s="3">
        <f t="shared" si="42"/>
        <v>6654079</v>
      </c>
      <c r="N657" t="s">
        <v>565</v>
      </c>
      <c r="O657" t="s">
        <v>566</v>
      </c>
      <c r="P657" t="s">
        <v>11</v>
      </c>
      <c r="Q657" t="str">
        <f t="shared" si="43"/>
        <v>Kid</v>
      </c>
    </row>
    <row r="658" spans="1:17" x14ac:dyDescent="0.3">
      <c r="A658">
        <v>1992</v>
      </c>
      <c r="B658">
        <v>2024</v>
      </c>
      <c r="C658" s="5" t="s">
        <v>499</v>
      </c>
      <c r="D658" t="s">
        <v>23</v>
      </c>
      <c r="E658" s="4">
        <v>8.6</v>
      </c>
      <c r="F658" t="str">
        <f t="shared" si="40"/>
        <v>Watch</v>
      </c>
      <c r="G658" t="str">
        <f t="shared" si="41"/>
        <v>Best</v>
      </c>
      <c r="H658" t="str" cm="1">
        <f t="array" ref="H658">_xlfn.IFS(E658&gt;8,"Best",E658=7,"Good",E658&gt;7,"Good",E658&lt;7,"Avg",E658&lt;6,"Below Avg")</f>
        <v>Best</v>
      </c>
      <c r="I658">
        <v>152</v>
      </c>
      <c r="K658" s="3">
        <v>25455921</v>
      </c>
      <c r="L658" s="3">
        <v>19970614</v>
      </c>
      <c r="M658" s="3">
        <f t="shared" si="42"/>
        <v>5485307</v>
      </c>
      <c r="O658" t="s">
        <v>567</v>
      </c>
      <c r="P658" t="s">
        <v>11</v>
      </c>
      <c r="Q658" t="str">
        <f t="shared" si="43"/>
        <v>Kid</v>
      </c>
    </row>
    <row r="659" spans="1:17" x14ac:dyDescent="0.3">
      <c r="A659" t="s">
        <v>568</v>
      </c>
      <c r="B659">
        <v>2024</v>
      </c>
      <c r="C659" s="5" t="s">
        <v>499</v>
      </c>
      <c r="D659" t="s">
        <v>148</v>
      </c>
      <c r="E659" s="4">
        <v>6.9</v>
      </c>
      <c r="F659" t="str">
        <f t="shared" si="40"/>
        <v>Watch</v>
      </c>
      <c r="G659" t="str">
        <f t="shared" si="41"/>
        <v>Avg</v>
      </c>
      <c r="H659" t="str" cm="1">
        <f t="array" ref="H659">_xlfn.IFS(E659&gt;8,"Best",E659=7,"Good",E659&gt;7,"Good",E659&lt;7,"Avg",E659&lt;6,"Below Avg")</f>
        <v>Avg</v>
      </c>
      <c r="I659">
        <v>144</v>
      </c>
      <c r="K659" s="3">
        <v>41548345</v>
      </c>
      <c r="L659" s="3">
        <v>11676086</v>
      </c>
      <c r="M659" s="3">
        <f t="shared" si="42"/>
        <v>29872259</v>
      </c>
      <c r="N659" t="s">
        <v>569</v>
      </c>
      <c r="O659" t="s">
        <v>491</v>
      </c>
      <c r="P659" t="s">
        <v>4</v>
      </c>
      <c r="Q659" t="str">
        <f t="shared" si="43"/>
        <v>Adult</v>
      </c>
    </row>
    <row r="660" spans="1:17" x14ac:dyDescent="0.3">
      <c r="A660" t="s">
        <v>570</v>
      </c>
      <c r="B660">
        <v>2024</v>
      </c>
      <c r="C660" s="5" t="s">
        <v>499</v>
      </c>
      <c r="D660" t="s">
        <v>61</v>
      </c>
      <c r="E660" s="4">
        <v>7.7</v>
      </c>
      <c r="F660" t="str">
        <f t="shared" si="40"/>
        <v>Watch</v>
      </c>
      <c r="G660" t="str">
        <f t="shared" si="41"/>
        <v>Good</v>
      </c>
      <c r="H660" t="str" cm="1">
        <f t="array" ref="H660">_xlfn.IFS(E660&gt;8,"Best",E660=7,"Good",E660&gt;7,"Good",E660&lt;7,"Avg",E660&lt;6,"Below Avg")</f>
        <v>Good</v>
      </c>
      <c r="I660">
        <v>146</v>
      </c>
      <c r="K660" s="3">
        <v>27185748</v>
      </c>
      <c r="L660" s="3">
        <v>21123832</v>
      </c>
      <c r="M660" s="3">
        <f t="shared" si="42"/>
        <v>6061916</v>
      </c>
      <c r="N660" t="s">
        <v>571</v>
      </c>
      <c r="O660" t="s">
        <v>572</v>
      </c>
      <c r="P660" t="s">
        <v>11</v>
      </c>
      <c r="Q660" t="str">
        <f t="shared" si="43"/>
        <v>Kid</v>
      </c>
    </row>
    <row r="661" spans="1:17" x14ac:dyDescent="0.3">
      <c r="A661" t="s">
        <v>573</v>
      </c>
      <c r="B661">
        <v>2024</v>
      </c>
      <c r="C661" s="5" t="s">
        <v>499</v>
      </c>
      <c r="D661" t="s">
        <v>27</v>
      </c>
      <c r="E661" s="4">
        <v>6.7</v>
      </c>
      <c r="F661" t="str">
        <f t="shared" si="40"/>
        <v>Watch</v>
      </c>
      <c r="G661" t="str">
        <f t="shared" si="41"/>
        <v>Avg</v>
      </c>
      <c r="H661" t="str" cm="1">
        <f t="array" ref="H661">_xlfn.IFS(E661&gt;8,"Best",E661=7,"Good",E661&gt;7,"Good",E661&lt;7,"Avg",E661&lt;6,"Below Avg")</f>
        <v>Avg</v>
      </c>
      <c r="I661">
        <v>154</v>
      </c>
      <c r="K661" s="3">
        <v>26712462</v>
      </c>
      <c r="L661" s="3">
        <v>20808308</v>
      </c>
      <c r="M661" s="3">
        <f t="shared" si="42"/>
        <v>5904154</v>
      </c>
      <c r="N661" t="s">
        <v>574</v>
      </c>
      <c r="O661" t="s">
        <v>575</v>
      </c>
      <c r="P661" t="s">
        <v>11</v>
      </c>
      <c r="Q661" t="str">
        <f t="shared" si="43"/>
        <v>Kid</v>
      </c>
    </row>
    <row r="662" spans="1:17" x14ac:dyDescent="0.3">
      <c r="A662" t="s">
        <v>576</v>
      </c>
      <c r="B662">
        <v>2024</v>
      </c>
      <c r="C662" s="5" t="s">
        <v>499</v>
      </c>
      <c r="D662" t="s">
        <v>8</v>
      </c>
      <c r="E662" s="4">
        <v>7.9</v>
      </c>
      <c r="F662" t="str">
        <f t="shared" si="40"/>
        <v>Watch</v>
      </c>
      <c r="G662" t="str">
        <f t="shared" si="41"/>
        <v>Good</v>
      </c>
      <c r="H662" t="str" cm="1">
        <f t="array" ref="H662">_xlfn.IFS(E662&gt;8,"Best",E662=7,"Good",E662&gt;7,"Good",E662&lt;7,"Avg",E662&lt;6,"Below Avg")</f>
        <v>Good</v>
      </c>
      <c r="I662">
        <v>106</v>
      </c>
      <c r="K662" s="3">
        <v>30052128</v>
      </c>
      <c r="L662" s="3">
        <v>23034752</v>
      </c>
      <c r="M662" s="3">
        <f t="shared" si="42"/>
        <v>7017376</v>
      </c>
      <c r="O662" t="s">
        <v>413</v>
      </c>
      <c r="P662" t="s">
        <v>11</v>
      </c>
      <c r="Q662" t="str">
        <f t="shared" si="43"/>
        <v>Kid</v>
      </c>
    </row>
    <row r="663" spans="1:17" x14ac:dyDescent="0.3">
      <c r="A663" t="s">
        <v>577</v>
      </c>
      <c r="B663">
        <v>2024</v>
      </c>
      <c r="C663" s="5" t="s">
        <v>499</v>
      </c>
      <c r="D663" t="s">
        <v>23</v>
      </c>
      <c r="E663" s="4">
        <v>7.6</v>
      </c>
      <c r="F663" t="str">
        <f t="shared" si="40"/>
        <v>Watch</v>
      </c>
      <c r="G663" t="str">
        <f t="shared" si="41"/>
        <v>Good</v>
      </c>
      <c r="H663" t="str" cm="1">
        <f t="array" ref="H663">_xlfn.IFS(E663&gt;8,"Best",E663=7,"Good",E663&gt;7,"Good",E663&lt;7,"Avg",E663&lt;6,"Below Avg")</f>
        <v>Good</v>
      </c>
      <c r="I663">
        <v>157</v>
      </c>
      <c r="K663" s="3">
        <v>28722261</v>
      </c>
      <c r="L663" s="3">
        <v>22148174</v>
      </c>
      <c r="M663" s="3">
        <f t="shared" si="42"/>
        <v>6574087</v>
      </c>
      <c r="N663" t="s">
        <v>578</v>
      </c>
      <c r="O663" t="s">
        <v>579</v>
      </c>
      <c r="P663" t="s">
        <v>11</v>
      </c>
      <c r="Q663" t="str">
        <f t="shared" si="43"/>
        <v>Kid</v>
      </c>
    </row>
    <row r="664" spans="1:17" x14ac:dyDescent="0.3">
      <c r="A664" t="s">
        <v>766</v>
      </c>
      <c r="B664">
        <v>2024</v>
      </c>
      <c r="C664" s="5" t="s">
        <v>767</v>
      </c>
      <c r="D664" t="s">
        <v>127</v>
      </c>
      <c r="E664" s="4">
        <v>8.6999999999999993</v>
      </c>
      <c r="F664" t="str">
        <f t="shared" si="40"/>
        <v>Watch</v>
      </c>
      <c r="G664" t="str">
        <f t="shared" si="41"/>
        <v>Best</v>
      </c>
      <c r="H664" t="str" cm="1">
        <f t="array" ref="H664">_xlfn.IFS(E664&gt;8,"Best",E664=7,"Good",E664&gt;7,"Good",E664&lt;7,"Avg",E664&lt;6,"Below Avg")</f>
        <v>Best</v>
      </c>
      <c r="I664">
        <v>153</v>
      </c>
      <c r="K664" s="3">
        <v>25459254</v>
      </c>
      <c r="L664" s="3">
        <v>19972836</v>
      </c>
      <c r="M664" s="3">
        <f t="shared" si="42"/>
        <v>5486418</v>
      </c>
      <c r="O664" t="s">
        <v>768</v>
      </c>
      <c r="P664" t="s">
        <v>11</v>
      </c>
      <c r="Q664" t="str">
        <f t="shared" si="43"/>
        <v>Kid</v>
      </c>
    </row>
    <row r="665" spans="1:17" x14ac:dyDescent="0.3">
      <c r="A665" t="s">
        <v>781</v>
      </c>
      <c r="B665">
        <v>2024</v>
      </c>
      <c r="C665" s="5" t="s">
        <v>767</v>
      </c>
      <c r="D665" t="s">
        <v>116</v>
      </c>
      <c r="E665" s="4">
        <v>8.4</v>
      </c>
      <c r="F665" t="str">
        <f t="shared" si="40"/>
        <v>Watch</v>
      </c>
      <c r="G665" t="str">
        <f t="shared" si="41"/>
        <v>Good</v>
      </c>
      <c r="H665" t="str" cm="1">
        <f t="array" ref="H665">_xlfn.IFS(E665&gt;8,"Best",E665=7,"Good",E665&gt;7,"Good",E665&lt;7,"Avg",E665&lt;6,"Below Avg")</f>
        <v>Best</v>
      </c>
      <c r="I665">
        <v>144</v>
      </c>
      <c r="K665" s="3">
        <v>30178782</v>
      </c>
      <c r="L665" s="3">
        <v>23119188</v>
      </c>
      <c r="M665" s="3">
        <f t="shared" si="42"/>
        <v>7059594</v>
      </c>
      <c r="N665" t="s">
        <v>782</v>
      </c>
      <c r="O665" t="s">
        <v>783</v>
      </c>
      <c r="P665" t="s">
        <v>11</v>
      </c>
      <c r="Q665" t="str">
        <f t="shared" si="43"/>
        <v>Kid</v>
      </c>
    </row>
    <row r="666" spans="1:17" x14ac:dyDescent="0.3">
      <c r="A666" t="s">
        <v>800</v>
      </c>
      <c r="B666">
        <v>2024</v>
      </c>
      <c r="C666" s="5" t="s">
        <v>767</v>
      </c>
      <c r="D666" t="s">
        <v>354</v>
      </c>
      <c r="E666" s="4">
        <v>6</v>
      </c>
      <c r="F666" t="str">
        <f t="shared" si="40"/>
        <v>Don't Watch</v>
      </c>
      <c r="G666" t="str">
        <f t="shared" si="41"/>
        <v>Avg</v>
      </c>
      <c r="H666" t="str" cm="1">
        <f t="array" ref="H666">_xlfn.IFS(E666&gt;8,"Best",E666=7,"Good",E666&gt;7,"Good",E666&lt;7,"Avg",E666&lt;6,"Below Avg")</f>
        <v>Avg</v>
      </c>
      <c r="I666">
        <v>135</v>
      </c>
      <c r="K666" s="3">
        <v>30648735</v>
      </c>
      <c r="L666" s="3">
        <v>23432490</v>
      </c>
      <c r="M666" s="3">
        <f t="shared" si="42"/>
        <v>7216245</v>
      </c>
      <c r="N666" t="s">
        <v>801</v>
      </c>
      <c r="O666" t="s">
        <v>802</v>
      </c>
      <c r="P666" t="s">
        <v>11</v>
      </c>
      <c r="Q666" t="str">
        <f t="shared" si="43"/>
        <v>Kid</v>
      </c>
    </row>
    <row r="667" spans="1:17" x14ac:dyDescent="0.3">
      <c r="A667" t="s">
        <v>769</v>
      </c>
      <c r="B667">
        <v>2024</v>
      </c>
      <c r="C667" s="5" t="s">
        <v>767</v>
      </c>
      <c r="D667" t="s">
        <v>35</v>
      </c>
      <c r="E667" s="4">
        <v>7.5</v>
      </c>
      <c r="F667" t="str">
        <f t="shared" si="40"/>
        <v>Watch</v>
      </c>
      <c r="G667" t="str">
        <f t="shared" si="41"/>
        <v>Good</v>
      </c>
      <c r="H667" t="str" cm="1">
        <f t="array" ref="H667">_xlfn.IFS(E667&gt;8,"Best",E667=7,"Good",E667&gt;7,"Good",E667&lt;7,"Avg",E667&lt;6,"Below Avg")</f>
        <v>Good</v>
      </c>
      <c r="I667">
        <v>93</v>
      </c>
      <c r="K667" s="3">
        <v>27509049</v>
      </c>
      <c r="L667" s="3">
        <v>21339366</v>
      </c>
      <c r="M667" s="3">
        <f t="shared" si="42"/>
        <v>6169683</v>
      </c>
      <c r="N667" t="s">
        <v>770</v>
      </c>
      <c r="O667" t="s">
        <v>771</v>
      </c>
      <c r="P667" t="s">
        <v>11</v>
      </c>
      <c r="Q667" t="str">
        <f t="shared" si="43"/>
        <v>Kid</v>
      </c>
    </row>
    <row r="668" spans="1:17" x14ac:dyDescent="0.3">
      <c r="A668" t="s">
        <v>772</v>
      </c>
      <c r="B668">
        <v>2024</v>
      </c>
      <c r="C668" s="5" t="s">
        <v>767</v>
      </c>
      <c r="D668" t="s">
        <v>8</v>
      </c>
      <c r="E668" s="4">
        <v>9</v>
      </c>
      <c r="F668" t="str">
        <f t="shared" si="40"/>
        <v>Watch</v>
      </c>
      <c r="G668" t="str">
        <f t="shared" si="41"/>
        <v>Best</v>
      </c>
      <c r="H668" t="str" cm="1">
        <f t="array" ref="H668">_xlfn.IFS(E668&gt;8,"Best",E668=7,"Good",E668&gt;7,"Good",E668&lt;7,"Avg",E668&lt;6,"Below Avg")</f>
        <v>Best</v>
      </c>
      <c r="I668">
        <v>114</v>
      </c>
      <c r="K668" s="3">
        <v>28328967</v>
      </c>
      <c r="L668" s="3">
        <v>21885978</v>
      </c>
      <c r="M668" s="3">
        <f t="shared" si="42"/>
        <v>6442989</v>
      </c>
      <c r="N668" t="s">
        <v>773</v>
      </c>
      <c r="O668" t="s">
        <v>332</v>
      </c>
      <c r="P668" t="s">
        <v>11</v>
      </c>
      <c r="Q668" t="str">
        <f t="shared" si="43"/>
        <v>Kid</v>
      </c>
    </row>
    <row r="669" spans="1:17" x14ac:dyDescent="0.3">
      <c r="A669" t="s">
        <v>774</v>
      </c>
      <c r="B669">
        <v>2024</v>
      </c>
      <c r="C669" s="5" t="s">
        <v>767</v>
      </c>
      <c r="D669" t="s">
        <v>27</v>
      </c>
      <c r="E669" s="4">
        <v>7.5</v>
      </c>
      <c r="F669" t="str">
        <f t="shared" si="40"/>
        <v>Watch</v>
      </c>
      <c r="G669" t="str">
        <f t="shared" si="41"/>
        <v>Good</v>
      </c>
      <c r="H669" t="str" cm="1">
        <f t="array" ref="H669">_xlfn.IFS(E669&gt;8,"Best",E669=7,"Good",E669&gt;7,"Good",E669&lt;7,"Avg",E669&lt;6,"Below Avg")</f>
        <v>Good</v>
      </c>
      <c r="I669">
        <v>150</v>
      </c>
      <c r="K669" s="3">
        <v>27949005</v>
      </c>
      <c r="L669" s="3">
        <v>21632670</v>
      </c>
      <c r="M669" s="3">
        <f t="shared" si="42"/>
        <v>6316335</v>
      </c>
      <c r="O669" t="s">
        <v>775</v>
      </c>
      <c r="P669" t="s">
        <v>11</v>
      </c>
      <c r="Q669" t="str">
        <f t="shared" si="43"/>
        <v>Kid</v>
      </c>
    </row>
    <row r="670" spans="1:17" x14ac:dyDescent="0.3">
      <c r="A670" t="s">
        <v>776</v>
      </c>
      <c r="B670">
        <v>2024</v>
      </c>
      <c r="C670" s="5" t="s">
        <v>767</v>
      </c>
      <c r="D670" t="s">
        <v>39</v>
      </c>
      <c r="E670" s="4">
        <v>8.4</v>
      </c>
      <c r="F670" t="str">
        <f t="shared" si="40"/>
        <v>Watch</v>
      </c>
      <c r="G670" t="str">
        <f t="shared" si="41"/>
        <v>Good</v>
      </c>
      <c r="H670" t="str" cm="1">
        <f t="array" ref="H670">_xlfn.IFS(E670&gt;8,"Best",E670=7,"Good",E670&gt;7,"Good",E670&lt;7,"Avg",E670&lt;6,"Below Avg")</f>
        <v>Best</v>
      </c>
      <c r="I670">
        <v>123</v>
      </c>
      <c r="K670" s="3">
        <v>26109189</v>
      </c>
      <c r="L670" s="3">
        <v>20406126</v>
      </c>
      <c r="M670" s="3">
        <f t="shared" si="42"/>
        <v>5703063</v>
      </c>
      <c r="N670" t="s">
        <v>777</v>
      </c>
      <c r="O670" t="s">
        <v>120</v>
      </c>
      <c r="P670" t="s">
        <v>11</v>
      </c>
      <c r="Q670" t="str">
        <f t="shared" si="43"/>
        <v>Kid</v>
      </c>
    </row>
    <row r="671" spans="1:17" x14ac:dyDescent="0.3">
      <c r="A671" t="s">
        <v>778</v>
      </c>
      <c r="B671">
        <v>2024</v>
      </c>
      <c r="C671" s="5" t="s">
        <v>767</v>
      </c>
      <c r="D671" t="s">
        <v>39</v>
      </c>
      <c r="E671" s="4">
        <v>7.6</v>
      </c>
      <c r="F671" t="str">
        <f t="shared" si="40"/>
        <v>Watch</v>
      </c>
      <c r="G671" t="str">
        <f t="shared" si="41"/>
        <v>Good</v>
      </c>
      <c r="H671" t="str" cm="1">
        <f t="array" ref="H671">_xlfn.IFS(E671&gt;8,"Best",E671=7,"Good",E671&gt;7,"Good",E671&lt;7,"Avg",E671&lt;6,"Below Avg")</f>
        <v>Good</v>
      </c>
      <c r="I671">
        <v>139</v>
      </c>
      <c r="K671" s="3">
        <v>26412492</v>
      </c>
      <c r="L671" s="3">
        <v>20608328</v>
      </c>
      <c r="M671" s="3">
        <f t="shared" si="42"/>
        <v>5804164</v>
      </c>
      <c r="N671" t="s">
        <v>779</v>
      </c>
      <c r="O671" t="s">
        <v>780</v>
      </c>
      <c r="P671" t="s">
        <v>11</v>
      </c>
      <c r="Q671" t="str">
        <f t="shared" si="43"/>
        <v>Kid</v>
      </c>
    </row>
    <row r="672" spans="1:17" x14ac:dyDescent="0.3">
      <c r="A672" t="s">
        <v>784</v>
      </c>
      <c r="B672">
        <v>2024</v>
      </c>
      <c r="C672" s="5" t="s">
        <v>767</v>
      </c>
      <c r="D672" t="s">
        <v>93</v>
      </c>
      <c r="E672" s="4">
        <v>6.2</v>
      </c>
      <c r="F672" t="str">
        <f t="shared" si="40"/>
        <v>Don't Watch</v>
      </c>
      <c r="G672" t="str">
        <f t="shared" si="41"/>
        <v>Avg</v>
      </c>
      <c r="H672" t="str" cm="1">
        <f t="array" ref="H672">_xlfn.IFS(E672&gt;8,"Best",E672=7,"Good",E672&gt;7,"Good",E672&lt;7,"Avg",E672&lt;6,"Below Avg")</f>
        <v>Avg</v>
      </c>
      <c r="I672">
        <v>164</v>
      </c>
      <c r="K672" s="3">
        <v>38244642</v>
      </c>
      <c r="L672" s="3">
        <v>28496428</v>
      </c>
      <c r="M672" s="3">
        <f t="shared" si="42"/>
        <v>9748214</v>
      </c>
      <c r="N672" t="s">
        <v>785</v>
      </c>
      <c r="O672" t="s">
        <v>786</v>
      </c>
      <c r="P672" t="s">
        <v>11</v>
      </c>
      <c r="Q672" t="str">
        <f t="shared" si="43"/>
        <v>Kid</v>
      </c>
    </row>
    <row r="673" spans="1:17" x14ac:dyDescent="0.3">
      <c r="A673" t="s">
        <v>787</v>
      </c>
      <c r="B673">
        <v>2024</v>
      </c>
      <c r="C673" s="5" t="s">
        <v>767</v>
      </c>
      <c r="D673" t="s">
        <v>93</v>
      </c>
      <c r="E673" s="4">
        <v>9.1999999999999993</v>
      </c>
      <c r="F673" t="str">
        <f t="shared" si="40"/>
        <v>Watch</v>
      </c>
      <c r="G673" t="str">
        <f t="shared" si="41"/>
        <v>Best</v>
      </c>
      <c r="H673" t="str" cm="1">
        <f t="array" ref="H673">_xlfn.IFS(E673&gt;8,"Best",E673=7,"Good",E673&gt;7,"Good",E673&lt;7,"Avg",E673&lt;6,"Below Avg")</f>
        <v>Best</v>
      </c>
      <c r="I673">
        <v>161</v>
      </c>
      <c r="K673" s="3">
        <v>27235743</v>
      </c>
      <c r="L673" s="3">
        <v>21157162</v>
      </c>
      <c r="M673" s="3">
        <f t="shared" si="42"/>
        <v>6078581</v>
      </c>
      <c r="N673" t="s">
        <v>788</v>
      </c>
      <c r="O673" t="s">
        <v>789</v>
      </c>
      <c r="P673" t="s">
        <v>11</v>
      </c>
      <c r="Q673" t="str">
        <f t="shared" si="43"/>
        <v>Kid</v>
      </c>
    </row>
    <row r="674" spans="1:17" x14ac:dyDescent="0.3">
      <c r="A674" t="s">
        <v>790</v>
      </c>
      <c r="B674">
        <v>2024</v>
      </c>
      <c r="C674" s="5" t="s">
        <v>767</v>
      </c>
      <c r="D674" t="s">
        <v>93</v>
      </c>
      <c r="E674" s="4">
        <v>7.9</v>
      </c>
      <c r="F674" t="str">
        <f t="shared" si="40"/>
        <v>Watch</v>
      </c>
      <c r="G674" t="str">
        <f t="shared" si="41"/>
        <v>Good</v>
      </c>
      <c r="H674" t="str" cm="1">
        <f t="array" ref="H674">_xlfn.IFS(E674&gt;8,"Best",E674=7,"Good",E674&gt;7,"Good",E674&lt;7,"Avg",E674&lt;6,"Below Avg")</f>
        <v>Good</v>
      </c>
      <c r="I674">
        <v>106</v>
      </c>
      <c r="K674" s="3">
        <v>38301303</v>
      </c>
      <c r="L674" s="3">
        <v>28534202</v>
      </c>
      <c r="M674" s="3">
        <f t="shared" si="42"/>
        <v>9767101</v>
      </c>
      <c r="O674" t="s">
        <v>791</v>
      </c>
      <c r="P674" t="s">
        <v>11</v>
      </c>
      <c r="Q674" t="str">
        <f t="shared" si="43"/>
        <v>Kid</v>
      </c>
    </row>
    <row r="675" spans="1:17" x14ac:dyDescent="0.3">
      <c r="A675" s="1">
        <v>46270</v>
      </c>
      <c r="B675">
        <v>2024</v>
      </c>
      <c r="C675" s="5" t="s">
        <v>767</v>
      </c>
      <c r="D675" t="s">
        <v>39</v>
      </c>
      <c r="E675" s="4">
        <v>6.8</v>
      </c>
      <c r="F675" t="str">
        <f t="shared" si="40"/>
        <v>Watch</v>
      </c>
      <c r="G675" t="str">
        <f t="shared" si="41"/>
        <v>Avg</v>
      </c>
      <c r="H675" t="str" cm="1">
        <f t="array" ref="H675">_xlfn.IFS(E675&gt;8,"Best",E675=7,"Good",E675&gt;7,"Good",E675&lt;7,"Avg",E675&lt;6,"Below Avg")</f>
        <v>Avg</v>
      </c>
      <c r="I675">
        <v>134</v>
      </c>
      <c r="K675" s="3">
        <v>28145652</v>
      </c>
      <c r="L675" s="3">
        <v>21763768</v>
      </c>
      <c r="M675" s="3">
        <f t="shared" si="42"/>
        <v>6381884</v>
      </c>
      <c r="O675" t="s">
        <v>792</v>
      </c>
      <c r="P675" t="s">
        <v>11</v>
      </c>
      <c r="Q675" t="str">
        <f t="shared" si="43"/>
        <v>Kid</v>
      </c>
    </row>
    <row r="676" spans="1:17" x14ac:dyDescent="0.3">
      <c r="A676" t="s">
        <v>793</v>
      </c>
      <c r="B676">
        <v>2024</v>
      </c>
      <c r="C676" s="5" t="s">
        <v>767</v>
      </c>
      <c r="D676" t="s">
        <v>8</v>
      </c>
      <c r="E676" s="4">
        <v>9.1</v>
      </c>
      <c r="F676" t="str">
        <f t="shared" si="40"/>
        <v>Watch</v>
      </c>
      <c r="G676" t="str">
        <f t="shared" si="41"/>
        <v>Best</v>
      </c>
      <c r="H676" t="str" cm="1">
        <f t="array" ref="H676">_xlfn.IFS(E676&gt;8,"Best",E676=7,"Good",E676&gt;7,"Good",E676&lt;7,"Avg",E676&lt;6,"Below Avg")</f>
        <v>Best</v>
      </c>
      <c r="I676">
        <v>157</v>
      </c>
      <c r="K676" s="3">
        <v>28222311</v>
      </c>
      <c r="L676" s="3">
        <v>21814874</v>
      </c>
      <c r="M676" s="3">
        <f t="shared" si="42"/>
        <v>6407437</v>
      </c>
      <c r="O676" t="s">
        <v>794</v>
      </c>
      <c r="P676" t="s">
        <v>11</v>
      </c>
      <c r="Q676" t="str">
        <f t="shared" si="43"/>
        <v>Kid</v>
      </c>
    </row>
    <row r="677" spans="1:17" x14ac:dyDescent="0.3">
      <c r="A677" t="s">
        <v>795</v>
      </c>
      <c r="B677">
        <v>2024</v>
      </c>
      <c r="C677" s="5" t="s">
        <v>767</v>
      </c>
      <c r="D677" t="s">
        <v>27</v>
      </c>
      <c r="E677" s="4">
        <v>9.1</v>
      </c>
      <c r="F677" t="str">
        <f t="shared" si="40"/>
        <v>Watch</v>
      </c>
      <c r="G677" t="str">
        <f t="shared" si="41"/>
        <v>Best</v>
      </c>
      <c r="H677" t="str" cm="1">
        <f t="array" ref="H677">_xlfn.IFS(E677&gt;8,"Best",E677=7,"Good",E677&gt;7,"Good",E677&lt;7,"Avg",E677&lt;6,"Below Avg")</f>
        <v>Best</v>
      </c>
      <c r="I677">
        <v>118</v>
      </c>
      <c r="K677" s="3">
        <v>30092124</v>
      </c>
      <c r="L677" s="3">
        <v>23061416</v>
      </c>
      <c r="M677" s="3">
        <f t="shared" si="42"/>
        <v>7030708</v>
      </c>
      <c r="N677" t="s">
        <v>796</v>
      </c>
      <c r="O677" t="s">
        <v>797</v>
      </c>
      <c r="P677" t="s">
        <v>11</v>
      </c>
      <c r="Q677" t="str">
        <f t="shared" si="43"/>
        <v>Kid</v>
      </c>
    </row>
    <row r="678" spans="1:17" x14ac:dyDescent="0.3">
      <c r="A678" t="s">
        <v>798</v>
      </c>
      <c r="B678">
        <v>2024</v>
      </c>
      <c r="C678" s="5" t="s">
        <v>767</v>
      </c>
      <c r="D678" t="s">
        <v>85</v>
      </c>
      <c r="E678" s="4">
        <v>7.4</v>
      </c>
      <c r="F678" t="str">
        <f t="shared" si="40"/>
        <v>Watch</v>
      </c>
      <c r="G678" t="str">
        <f t="shared" si="41"/>
        <v>Good</v>
      </c>
      <c r="H678" t="str" cm="1">
        <f t="array" ref="H678">_xlfn.IFS(E678&gt;8,"Best",E678=7,"Good",E678&gt;7,"Good",E678&lt;7,"Avg",E678&lt;6,"Below Avg")</f>
        <v>Good</v>
      </c>
      <c r="I678">
        <v>122</v>
      </c>
      <c r="K678" s="3">
        <v>42676010</v>
      </c>
      <c r="L678" s="3">
        <v>11926588</v>
      </c>
      <c r="M678" s="3">
        <f t="shared" si="42"/>
        <v>30749422</v>
      </c>
      <c r="O678" t="s">
        <v>799</v>
      </c>
      <c r="P678" t="s">
        <v>4</v>
      </c>
      <c r="Q678" t="str">
        <f t="shared" si="43"/>
        <v>Adult</v>
      </c>
    </row>
    <row r="679" spans="1:17" x14ac:dyDescent="0.3">
      <c r="A679" t="s">
        <v>803</v>
      </c>
      <c r="B679">
        <v>2024</v>
      </c>
      <c r="C679" s="5" t="s">
        <v>767</v>
      </c>
      <c r="D679" t="s">
        <v>93</v>
      </c>
      <c r="E679" s="4">
        <v>6.6</v>
      </c>
      <c r="F679" t="str">
        <f t="shared" si="40"/>
        <v>Watch</v>
      </c>
      <c r="G679" t="str">
        <f t="shared" si="41"/>
        <v>Avg</v>
      </c>
      <c r="H679" t="str" cm="1">
        <f t="array" ref="H679">_xlfn.IFS(E679&gt;8,"Best",E679=7,"Good",E679&gt;7,"Good",E679&lt;7,"Avg",E679&lt;6,"Below Avg")</f>
        <v>Avg</v>
      </c>
      <c r="I679">
        <v>132</v>
      </c>
      <c r="K679" s="3">
        <v>497738115</v>
      </c>
      <c r="L679" s="3">
        <v>166709307</v>
      </c>
      <c r="M679" s="3">
        <f t="shared" si="42"/>
        <v>331028808</v>
      </c>
      <c r="N679" t="s">
        <v>804</v>
      </c>
      <c r="O679" t="s">
        <v>805</v>
      </c>
      <c r="P679" t="s">
        <v>11</v>
      </c>
      <c r="Q679" t="str">
        <f t="shared" si="43"/>
        <v>Kid</v>
      </c>
    </row>
    <row r="680" spans="1:17" x14ac:dyDescent="0.3">
      <c r="A680" t="s">
        <v>806</v>
      </c>
      <c r="B680">
        <v>2024</v>
      </c>
      <c r="C680" s="5" t="s">
        <v>767</v>
      </c>
      <c r="D680" t="s">
        <v>27</v>
      </c>
      <c r="E680" s="4">
        <v>9.1999999999999993</v>
      </c>
      <c r="F680" t="str">
        <f t="shared" si="40"/>
        <v>Watch</v>
      </c>
      <c r="G680" t="str">
        <f t="shared" si="41"/>
        <v>Best</v>
      </c>
      <c r="H680" t="str" cm="1">
        <f t="array" ref="H680">_xlfn.IFS(E680&gt;8,"Best",E680=7,"Good",E680&gt;7,"Good",E680&lt;7,"Avg",E680&lt;6,"Below Avg")</f>
        <v>Best</v>
      </c>
      <c r="I680">
        <v>164</v>
      </c>
      <c r="K680" s="3">
        <v>28995567</v>
      </c>
      <c r="L680" s="3">
        <v>22330378</v>
      </c>
      <c r="M680" s="3">
        <f t="shared" si="42"/>
        <v>6665189</v>
      </c>
      <c r="O680" t="s">
        <v>807</v>
      </c>
      <c r="P680" t="s">
        <v>11</v>
      </c>
      <c r="Q680" t="str">
        <f t="shared" si="43"/>
        <v>Kid</v>
      </c>
    </row>
    <row r="681" spans="1:17" x14ac:dyDescent="0.3">
      <c r="A681" t="s">
        <v>808</v>
      </c>
      <c r="B681">
        <v>2024</v>
      </c>
      <c r="C681" s="5" t="s">
        <v>767</v>
      </c>
      <c r="D681" t="s">
        <v>27</v>
      </c>
      <c r="E681" s="4">
        <v>6.9</v>
      </c>
      <c r="F681" t="str">
        <f t="shared" si="40"/>
        <v>Watch</v>
      </c>
      <c r="G681" t="str">
        <f t="shared" si="41"/>
        <v>Avg</v>
      </c>
      <c r="H681" t="str" cm="1">
        <f t="array" ref="H681">_xlfn.IFS(E681&gt;8,"Best",E681=7,"Good",E681&gt;7,"Good",E681&lt;7,"Avg",E681&lt;6,"Below Avg")</f>
        <v>Avg</v>
      </c>
      <c r="I681">
        <v>111</v>
      </c>
      <c r="K681" s="3">
        <v>27819018</v>
      </c>
      <c r="L681" s="3">
        <v>21546012</v>
      </c>
      <c r="M681" s="3">
        <f t="shared" si="42"/>
        <v>6273006</v>
      </c>
      <c r="N681" t="s">
        <v>809</v>
      </c>
      <c r="O681" t="s">
        <v>187</v>
      </c>
      <c r="P681" t="s">
        <v>11</v>
      </c>
      <c r="Q681" t="str">
        <f t="shared" si="43"/>
        <v>Kid</v>
      </c>
    </row>
    <row r="682" spans="1:17" x14ac:dyDescent="0.3">
      <c r="A682" t="s">
        <v>810</v>
      </c>
      <c r="B682">
        <v>2024</v>
      </c>
      <c r="C682" s="5" t="s">
        <v>767</v>
      </c>
      <c r="D682" t="s">
        <v>39</v>
      </c>
      <c r="E682" s="4">
        <v>7.7</v>
      </c>
      <c r="F682" t="str">
        <f t="shared" si="40"/>
        <v>Watch</v>
      </c>
      <c r="G682" t="str">
        <f t="shared" si="41"/>
        <v>Good</v>
      </c>
      <c r="H682" t="str" cm="1">
        <f t="array" ref="H682">_xlfn.IFS(E682&gt;8,"Best",E682=7,"Good",E682&gt;7,"Good",E682&lt;7,"Avg",E682&lt;6,"Below Avg")</f>
        <v>Good</v>
      </c>
      <c r="I682">
        <v>119</v>
      </c>
      <c r="K682" s="3">
        <v>27845682</v>
      </c>
      <c r="L682" s="3">
        <v>21563788</v>
      </c>
      <c r="M682" s="3">
        <f t="shared" si="42"/>
        <v>6281894</v>
      </c>
      <c r="O682" t="s">
        <v>377</v>
      </c>
      <c r="P682" t="s">
        <v>11</v>
      </c>
      <c r="Q682" t="str">
        <f t="shared" si="43"/>
        <v>Kid</v>
      </c>
    </row>
    <row r="683" spans="1:17" x14ac:dyDescent="0.3">
      <c r="A683" t="s">
        <v>811</v>
      </c>
      <c r="B683">
        <v>2024</v>
      </c>
      <c r="C683" s="5" t="s">
        <v>767</v>
      </c>
      <c r="D683" t="s">
        <v>27</v>
      </c>
      <c r="E683" s="4">
        <v>6.1</v>
      </c>
      <c r="F683" t="str">
        <f t="shared" si="40"/>
        <v>Don't Watch</v>
      </c>
      <c r="G683" t="str">
        <f t="shared" si="41"/>
        <v>Avg</v>
      </c>
      <c r="H683" t="str" cm="1">
        <f t="array" ref="H683">_xlfn.IFS(E683&gt;8,"Best",E683=7,"Good",E683&gt;7,"Good",E683&lt;7,"Avg",E683&lt;6,"Below Avg")</f>
        <v>Avg</v>
      </c>
      <c r="I683">
        <v>145</v>
      </c>
      <c r="K683" s="3">
        <v>30432090</v>
      </c>
      <c r="L683" s="3">
        <v>23288060</v>
      </c>
      <c r="M683" s="3">
        <f t="shared" si="42"/>
        <v>7144030</v>
      </c>
      <c r="O683" t="s">
        <v>812</v>
      </c>
      <c r="P683" t="s">
        <v>11</v>
      </c>
      <c r="Q683" t="str">
        <f t="shared" si="43"/>
        <v>Kid</v>
      </c>
    </row>
    <row r="684" spans="1:17" x14ac:dyDescent="0.3">
      <c r="A684" t="s">
        <v>813</v>
      </c>
      <c r="B684">
        <v>2024</v>
      </c>
      <c r="C684" s="5" t="s">
        <v>767</v>
      </c>
      <c r="D684" t="s">
        <v>304</v>
      </c>
      <c r="E684" s="4">
        <v>6.5</v>
      </c>
      <c r="F684" t="str">
        <f t="shared" si="40"/>
        <v>Don't Watch</v>
      </c>
      <c r="G684" t="str">
        <f t="shared" si="41"/>
        <v>Avg</v>
      </c>
      <c r="H684" t="str" cm="1">
        <f t="array" ref="H684">_xlfn.IFS(E684&gt;8,"Best",E684=7,"Good",E684&gt;7,"Good",E684&lt;7,"Avg",E684&lt;6,"Below Avg")</f>
        <v>Avg</v>
      </c>
      <c r="I684">
        <v>161</v>
      </c>
      <c r="K684" s="3">
        <v>29235543</v>
      </c>
      <c r="L684" s="3">
        <v>22490362</v>
      </c>
      <c r="M684" s="3">
        <f t="shared" si="42"/>
        <v>6745181</v>
      </c>
      <c r="N684" t="s">
        <v>814</v>
      </c>
      <c r="O684" t="s">
        <v>815</v>
      </c>
      <c r="P684" t="s">
        <v>11</v>
      </c>
      <c r="Q684" t="str">
        <f t="shared" si="43"/>
        <v>Kid</v>
      </c>
    </row>
    <row r="685" spans="1:17" x14ac:dyDescent="0.3">
      <c r="A685" t="s">
        <v>88</v>
      </c>
      <c r="B685">
        <v>2024</v>
      </c>
      <c r="C685" s="5" t="s">
        <v>89</v>
      </c>
      <c r="D685" t="s">
        <v>27</v>
      </c>
      <c r="E685" s="4">
        <v>6.5</v>
      </c>
      <c r="F685" t="str">
        <f t="shared" si="40"/>
        <v>Don't Watch</v>
      </c>
      <c r="G685" t="str">
        <f t="shared" si="41"/>
        <v>Avg</v>
      </c>
      <c r="H685" t="str" cm="1">
        <f t="array" ref="H685">_xlfn.IFS(E685&gt;8,"Best",E685=7,"Good",E685&gt;7,"Good",E685&lt;7,"Avg",E685&lt;6,"Below Avg")</f>
        <v>Avg</v>
      </c>
      <c r="I685">
        <v>134</v>
      </c>
      <c r="K685" s="3">
        <v>27145752</v>
      </c>
      <c r="L685" s="3">
        <v>21097168</v>
      </c>
      <c r="M685" s="3">
        <f t="shared" si="42"/>
        <v>6048584</v>
      </c>
      <c r="N685" t="s">
        <v>90</v>
      </c>
      <c r="O685" t="s">
        <v>91</v>
      </c>
      <c r="P685" t="s">
        <v>11</v>
      </c>
      <c r="Q685" t="str">
        <f t="shared" si="43"/>
        <v>Kid</v>
      </c>
    </row>
    <row r="686" spans="1:17" x14ac:dyDescent="0.3">
      <c r="A686" t="s">
        <v>102</v>
      </c>
      <c r="B686">
        <v>2024</v>
      </c>
      <c r="C686" s="5" t="s">
        <v>89</v>
      </c>
      <c r="D686" t="s">
        <v>49</v>
      </c>
      <c r="E686" s="4">
        <v>6.9</v>
      </c>
      <c r="F686" t="str">
        <f t="shared" si="40"/>
        <v>Watch</v>
      </c>
      <c r="G686" t="str">
        <f t="shared" si="41"/>
        <v>Avg</v>
      </c>
      <c r="H686" t="str" cm="1">
        <f t="array" ref="H686">_xlfn.IFS(E686&gt;8,"Best",E686=7,"Good",E686&gt;7,"Good",E686&lt;7,"Avg",E686&lt;6,"Below Avg")</f>
        <v>Avg</v>
      </c>
      <c r="I686">
        <v>120</v>
      </c>
      <c r="K686" s="3">
        <v>30348765</v>
      </c>
      <c r="L686" s="3">
        <v>23232510</v>
      </c>
      <c r="M686" s="3">
        <f t="shared" si="42"/>
        <v>7116255</v>
      </c>
      <c r="N686" t="s">
        <v>103</v>
      </c>
      <c r="O686" t="s">
        <v>104</v>
      </c>
      <c r="P686" t="s">
        <v>11</v>
      </c>
      <c r="Q686" t="str">
        <f t="shared" si="43"/>
        <v>Kid</v>
      </c>
    </row>
    <row r="687" spans="1:17" x14ac:dyDescent="0.3">
      <c r="A687" t="s">
        <v>113</v>
      </c>
      <c r="B687">
        <v>2024</v>
      </c>
      <c r="C687" s="5" t="s">
        <v>89</v>
      </c>
      <c r="D687" t="s">
        <v>8</v>
      </c>
      <c r="E687" s="4">
        <v>6.5</v>
      </c>
      <c r="F687" t="str">
        <f t="shared" si="40"/>
        <v>Don't Watch</v>
      </c>
      <c r="G687" t="str">
        <f t="shared" si="41"/>
        <v>Avg</v>
      </c>
      <c r="H687" t="str" cm="1">
        <f t="array" ref="H687">_xlfn.IFS(E687&gt;8,"Best",E687=7,"Good",E687&gt;7,"Good",E687&lt;7,"Avg",E687&lt;6,"Below Avg")</f>
        <v>Avg</v>
      </c>
      <c r="I687">
        <v>107</v>
      </c>
      <c r="K687" s="3">
        <v>30555411</v>
      </c>
      <c r="L687" s="3">
        <v>23370274</v>
      </c>
      <c r="M687" s="3">
        <f t="shared" si="42"/>
        <v>7185137</v>
      </c>
      <c r="O687" t="s">
        <v>114</v>
      </c>
      <c r="P687" t="s">
        <v>11</v>
      </c>
      <c r="Q687" t="str">
        <f t="shared" si="43"/>
        <v>Kid</v>
      </c>
    </row>
    <row r="688" spans="1:17" x14ac:dyDescent="0.3">
      <c r="A688" t="s">
        <v>130</v>
      </c>
      <c r="B688">
        <v>2024</v>
      </c>
      <c r="C688" s="5" t="s">
        <v>89</v>
      </c>
      <c r="D688" t="s">
        <v>35</v>
      </c>
      <c r="E688" s="4">
        <v>8.1999999999999993</v>
      </c>
      <c r="F688" t="str">
        <f t="shared" si="40"/>
        <v>Watch</v>
      </c>
      <c r="G688" t="str">
        <f t="shared" si="41"/>
        <v>Good</v>
      </c>
      <c r="H688" t="str" cm="1">
        <f t="array" ref="H688">_xlfn.IFS(E688&gt;8,"Best",E688=7,"Good",E688&gt;7,"Good",E688&lt;7,"Avg",E688&lt;6,"Below Avg")</f>
        <v>Best</v>
      </c>
      <c r="I688">
        <v>100</v>
      </c>
      <c r="K688" s="3">
        <v>33031830</v>
      </c>
      <c r="L688" s="3">
        <v>25021220</v>
      </c>
      <c r="M688" s="3">
        <f t="shared" si="42"/>
        <v>8010610</v>
      </c>
      <c r="N688" t="s">
        <v>131</v>
      </c>
      <c r="O688" t="s">
        <v>132</v>
      </c>
      <c r="P688" t="s">
        <v>11</v>
      </c>
      <c r="Q688" t="str">
        <f t="shared" si="43"/>
        <v>Kid</v>
      </c>
    </row>
    <row r="689" spans="1:17" x14ac:dyDescent="0.3">
      <c r="A689" t="s">
        <v>147</v>
      </c>
      <c r="B689">
        <v>2024</v>
      </c>
      <c r="C689" s="5" t="s">
        <v>89</v>
      </c>
      <c r="D689" t="s">
        <v>148</v>
      </c>
      <c r="E689" s="4">
        <v>8.1</v>
      </c>
      <c r="F689" t="str">
        <f t="shared" si="40"/>
        <v>Watch</v>
      </c>
      <c r="G689" t="str">
        <f t="shared" si="41"/>
        <v>Good</v>
      </c>
      <c r="H689" t="str" cm="1">
        <f t="array" ref="H689">_xlfn.IFS(E689&gt;8,"Best",E689=7,"Good",E689&gt;7,"Good",E689&lt;7,"Avg",E689&lt;6,"Below Avg")</f>
        <v>Best</v>
      </c>
      <c r="I689">
        <v>159</v>
      </c>
      <c r="K689" s="3">
        <v>44548045</v>
      </c>
      <c r="L689" s="3">
        <v>12342446</v>
      </c>
      <c r="M689" s="3">
        <f t="shared" si="42"/>
        <v>32205599</v>
      </c>
      <c r="O689" t="s">
        <v>149</v>
      </c>
      <c r="P689" t="s">
        <v>4</v>
      </c>
      <c r="Q689" t="str">
        <f t="shared" si="43"/>
        <v>Adult</v>
      </c>
    </row>
    <row r="690" spans="1:17" x14ac:dyDescent="0.3">
      <c r="A690" t="s">
        <v>160</v>
      </c>
      <c r="B690">
        <v>2024</v>
      </c>
      <c r="C690" s="5" t="s">
        <v>89</v>
      </c>
      <c r="D690" t="s">
        <v>8</v>
      </c>
      <c r="E690" s="4">
        <v>6</v>
      </c>
      <c r="F690" t="str">
        <f t="shared" si="40"/>
        <v>Don't Watch</v>
      </c>
      <c r="G690" t="str">
        <f t="shared" si="41"/>
        <v>Avg</v>
      </c>
      <c r="H690" t="str" cm="1">
        <f t="array" ref="H690">_xlfn.IFS(E690&gt;8,"Best",E690=7,"Good",E690&gt;7,"Good",E690&lt;7,"Avg",E690&lt;6,"Below Avg")</f>
        <v>Avg</v>
      </c>
      <c r="I690">
        <v>138</v>
      </c>
      <c r="K690" s="3">
        <v>29658834</v>
      </c>
      <c r="L690" s="3">
        <v>22772556</v>
      </c>
      <c r="M690" s="3">
        <f t="shared" si="42"/>
        <v>6886278</v>
      </c>
      <c r="O690" t="s">
        <v>161</v>
      </c>
      <c r="P690" t="s">
        <v>11</v>
      </c>
      <c r="Q690" t="str">
        <f t="shared" si="43"/>
        <v>Kid</v>
      </c>
    </row>
    <row r="691" spans="1:17" x14ac:dyDescent="0.3">
      <c r="A691" t="s">
        <v>92</v>
      </c>
      <c r="B691">
        <v>2024</v>
      </c>
      <c r="C691" s="5" t="s">
        <v>89</v>
      </c>
      <c r="D691" t="s">
        <v>93</v>
      </c>
      <c r="E691" s="4">
        <v>8.3000000000000007</v>
      </c>
      <c r="F691" t="str">
        <f t="shared" si="40"/>
        <v>Watch</v>
      </c>
      <c r="G691" t="str">
        <f t="shared" si="41"/>
        <v>Good</v>
      </c>
      <c r="H691" t="str" cm="1">
        <f t="array" ref="H691">_xlfn.IFS(E691&gt;8,"Best",E691=7,"Good",E691&gt;7,"Good",E691&lt;7,"Avg",E691&lt;6,"Below Avg")</f>
        <v>Best</v>
      </c>
      <c r="I691">
        <v>143</v>
      </c>
      <c r="K691" s="3">
        <v>30175449</v>
      </c>
      <c r="L691" s="3">
        <v>23116966</v>
      </c>
      <c r="M691" s="3">
        <f t="shared" si="42"/>
        <v>7058483</v>
      </c>
      <c r="N691" t="s">
        <v>94</v>
      </c>
      <c r="O691" t="s">
        <v>95</v>
      </c>
      <c r="P691" t="s">
        <v>11</v>
      </c>
      <c r="Q691" t="str">
        <f t="shared" si="43"/>
        <v>Kid</v>
      </c>
    </row>
    <row r="692" spans="1:17" x14ac:dyDescent="0.3">
      <c r="A692" t="s">
        <v>96</v>
      </c>
      <c r="B692">
        <v>2024</v>
      </c>
      <c r="C692" s="5" t="s">
        <v>89</v>
      </c>
      <c r="D692" t="s">
        <v>93</v>
      </c>
      <c r="E692" s="4">
        <v>7.4</v>
      </c>
      <c r="F692" t="str">
        <f t="shared" si="40"/>
        <v>Watch</v>
      </c>
      <c r="G692" t="str">
        <f t="shared" si="41"/>
        <v>Good</v>
      </c>
      <c r="H692" t="str" cm="1">
        <f t="array" ref="H692">_xlfn.IFS(E692&gt;8,"Best",E692=7,"Good",E692&gt;7,"Good",E692&lt;7,"Avg",E692&lt;6,"Below Avg")</f>
        <v>Good</v>
      </c>
      <c r="I692">
        <v>113</v>
      </c>
      <c r="K692" s="3">
        <v>31575309</v>
      </c>
      <c r="L692" s="3">
        <v>24050206</v>
      </c>
      <c r="M692" s="3">
        <f t="shared" si="42"/>
        <v>7525103</v>
      </c>
      <c r="N692" t="s">
        <v>97</v>
      </c>
      <c r="O692" t="s">
        <v>98</v>
      </c>
      <c r="P692" t="s">
        <v>11</v>
      </c>
      <c r="Q692" t="str">
        <f t="shared" si="43"/>
        <v>Kid</v>
      </c>
    </row>
    <row r="693" spans="1:17" x14ac:dyDescent="0.3">
      <c r="A693" t="s">
        <v>99</v>
      </c>
      <c r="B693">
        <v>2024</v>
      </c>
      <c r="C693" s="5" t="s">
        <v>89</v>
      </c>
      <c r="D693" t="s">
        <v>8</v>
      </c>
      <c r="E693" s="4">
        <v>6</v>
      </c>
      <c r="F693" t="str">
        <f t="shared" si="40"/>
        <v>Don't Watch</v>
      </c>
      <c r="G693" t="str">
        <f t="shared" si="41"/>
        <v>Avg</v>
      </c>
      <c r="H693" t="str" cm="1">
        <f t="array" ref="H693">_xlfn.IFS(E693&gt;8,"Best",E693=7,"Good",E693&gt;7,"Good",E693&lt;7,"Avg",E693&lt;6,"Below Avg")</f>
        <v>Avg</v>
      </c>
      <c r="I693">
        <v>138</v>
      </c>
      <c r="K693" s="3">
        <v>29658834</v>
      </c>
      <c r="L693" s="3">
        <v>22772556</v>
      </c>
      <c r="M693" s="3">
        <f t="shared" si="42"/>
        <v>6886278</v>
      </c>
      <c r="N693" t="s">
        <v>100</v>
      </c>
      <c r="O693" t="s">
        <v>101</v>
      </c>
      <c r="P693" t="s">
        <v>11</v>
      </c>
      <c r="Q693" t="str">
        <f t="shared" si="43"/>
        <v>Kid</v>
      </c>
    </row>
    <row r="694" spans="1:17" x14ac:dyDescent="0.3">
      <c r="A694" t="s">
        <v>105</v>
      </c>
      <c r="B694">
        <v>2024</v>
      </c>
      <c r="C694" s="5" t="s">
        <v>89</v>
      </c>
      <c r="D694" t="s">
        <v>8</v>
      </c>
      <c r="E694" s="4">
        <v>9.1</v>
      </c>
      <c r="F694" t="str">
        <f t="shared" si="40"/>
        <v>Watch</v>
      </c>
      <c r="G694" t="str">
        <f t="shared" si="41"/>
        <v>Best</v>
      </c>
      <c r="H694" t="str" cm="1">
        <f t="array" ref="H694">_xlfn.IFS(E694&gt;8,"Best",E694=7,"Good",E694&gt;7,"Good",E694&lt;7,"Avg",E694&lt;6,"Below Avg")</f>
        <v>Best</v>
      </c>
      <c r="I694">
        <v>151</v>
      </c>
      <c r="K694" s="3">
        <v>27452388</v>
      </c>
      <c r="L694" s="3">
        <v>21301592</v>
      </c>
      <c r="M694" s="3">
        <f t="shared" si="42"/>
        <v>6150796</v>
      </c>
      <c r="N694" t="s">
        <v>106</v>
      </c>
      <c r="O694" t="s">
        <v>107</v>
      </c>
      <c r="P694" t="s">
        <v>11</v>
      </c>
      <c r="Q694" t="str">
        <f t="shared" si="43"/>
        <v>Kid</v>
      </c>
    </row>
    <row r="695" spans="1:17" x14ac:dyDescent="0.3">
      <c r="A695" t="s">
        <v>108</v>
      </c>
      <c r="B695">
        <v>2024</v>
      </c>
      <c r="C695" s="5" t="s">
        <v>89</v>
      </c>
      <c r="D695" t="s">
        <v>8</v>
      </c>
      <c r="E695" s="4">
        <v>6</v>
      </c>
      <c r="F695" t="str">
        <f t="shared" si="40"/>
        <v>Don't Watch</v>
      </c>
      <c r="G695" t="str">
        <f t="shared" si="41"/>
        <v>Avg</v>
      </c>
      <c r="H695" t="str" cm="1">
        <f t="array" ref="H695">_xlfn.IFS(E695&gt;8,"Best",E695=7,"Good",E695&gt;7,"Good",E695&lt;7,"Avg",E695&lt;6,"Below Avg")</f>
        <v>Avg</v>
      </c>
      <c r="I695">
        <v>162</v>
      </c>
      <c r="K695" s="3">
        <v>29988801</v>
      </c>
      <c r="L695" s="3">
        <v>22992534</v>
      </c>
      <c r="M695" s="3">
        <f t="shared" si="42"/>
        <v>6996267</v>
      </c>
      <c r="N695" t="s">
        <v>109</v>
      </c>
      <c r="O695" t="s">
        <v>14</v>
      </c>
      <c r="P695" t="s">
        <v>11</v>
      </c>
      <c r="Q695" t="str">
        <f t="shared" si="43"/>
        <v>Kid</v>
      </c>
    </row>
    <row r="696" spans="1:17" x14ac:dyDescent="0.3">
      <c r="A696" t="s">
        <v>110</v>
      </c>
      <c r="B696">
        <v>2024</v>
      </c>
      <c r="C696" s="5" t="s">
        <v>89</v>
      </c>
      <c r="D696" t="s">
        <v>8</v>
      </c>
      <c r="E696" s="4">
        <v>6.7</v>
      </c>
      <c r="F696" t="str">
        <f t="shared" si="40"/>
        <v>Watch</v>
      </c>
      <c r="G696" t="str">
        <f t="shared" si="41"/>
        <v>Avg</v>
      </c>
      <c r="H696" t="str" cm="1">
        <f t="array" ref="H696">_xlfn.IFS(E696&gt;8,"Best",E696=7,"Good",E696&gt;7,"Good",E696&lt;7,"Avg",E696&lt;6,"Below Avg")</f>
        <v>Avg</v>
      </c>
      <c r="I696">
        <v>106</v>
      </c>
      <c r="K696" s="3">
        <v>26052528</v>
      </c>
      <c r="L696" s="3">
        <v>20368352</v>
      </c>
      <c r="M696" s="3">
        <f t="shared" si="42"/>
        <v>5684176</v>
      </c>
      <c r="N696" t="s">
        <v>111</v>
      </c>
      <c r="O696" t="s">
        <v>112</v>
      </c>
      <c r="P696" t="s">
        <v>11</v>
      </c>
      <c r="Q696" t="str">
        <f t="shared" si="43"/>
        <v>Kid</v>
      </c>
    </row>
    <row r="697" spans="1:17" x14ac:dyDescent="0.3">
      <c r="A697" t="s">
        <v>115</v>
      </c>
      <c r="B697">
        <v>2024</v>
      </c>
      <c r="C697" s="5" t="s">
        <v>89</v>
      </c>
      <c r="D697" t="s">
        <v>116</v>
      </c>
      <c r="E697" s="4">
        <v>7.9</v>
      </c>
      <c r="F697" t="str">
        <f t="shared" si="40"/>
        <v>Watch</v>
      </c>
      <c r="G697" t="str">
        <f t="shared" si="41"/>
        <v>Good</v>
      </c>
      <c r="H697" t="str" cm="1">
        <f t="array" ref="H697">_xlfn.IFS(E697&gt;8,"Best",E697=7,"Good",E697&gt;7,"Good",E697&lt;7,"Avg",E697&lt;6,"Below Avg")</f>
        <v>Good</v>
      </c>
      <c r="I697">
        <v>163</v>
      </c>
      <c r="K697" s="3">
        <v>27742359</v>
      </c>
      <c r="L697" s="3">
        <v>21494906</v>
      </c>
      <c r="M697" s="3">
        <f t="shared" si="42"/>
        <v>6247453</v>
      </c>
      <c r="O697" t="s">
        <v>117</v>
      </c>
      <c r="P697" t="s">
        <v>11</v>
      </c>
      <c r="Q697" t="str">
        <f t="shared" si="43"/>
        <v>Kid</v>
      </c>
    </row>
    <row r="698" spans="1:17" x14ac:dyDescent="0.3">
      <c r="A698" t="s">
        <v>118</v>
      </c>
      <c r="B698">
        <v>2024</v>
      </c>
      <c r="C698" s="5" t="s">
        <v>89</v>
      </c>
      <c r="D698" t="s">
        <v>19</v>
      </c>
      <c r="E698" s="4">
        <v>8.1</v>
      </c>
      <c r="F698" t="str">
        <f t="shared" si="40"/>
        <v>Watch</v>
      </c>
      <c r="G698" t="str">
        <f t="shared" si="41"/>
        <v>Good</v>
      </c>
      <c r="H698" t="str" cm="1">
        <f t="array" ref="H698">_xlfn.IFS(E698&gt;8,"Best",E698=7,"Good",E698&gt;7,"Good",E698&lt;7,"Avg",E698&lt;6,"Below Avg")</f>
        <v>Best</v>
      </c>
      <c r="I698">
        <v>150</v>
      </c>
      <c r="K698" s="3">
        <v>27199080</v>
      </c>
      <c r="L698" s="3">
        <v>21132720</v>
      </c>
      <c r="M698" s="3">
        <f t="shared" si="42"/>
        <v>6066360</v>
      </c>
      <c r="N698" t="s">
        <v>119</v>
      </c>
      <c r="O698" t="s">
        <v>120</v>
      </c>
      <c r="P698" t="s">
        <v>11</v>
      </c>
      <c r="Q698" t="str">
        <f t="shared" si="43"/>
        <v>Kid</v>
      </c>
    </row>
    <row r="699" spans="1:17" x14ac:dyDescent="0.3">
      <c r="A699" t="s">
        <v>121</v>
      </c>
      <c r="B699">
        <v>2024</v>
      </c>
      <c r="C699" s="5" t="s">
        <v>89</v>
      </c>
      <c r="D699" t="s">
        <v>27</v>
      </c>
      <c r="E699" s="4">
        <v>6.6</v>
      </c>
      <c r="F699" t="str">
        <f t="shared" si="40"/>
        <v>Watch</v>
      </c>
      <c r="G699" t="str">
        <f t="shared" si="41"/>
        <v>Avg</v>
      </c>
      <c r="H699" t="str" cm="1">
        <f t="array" ref="H699">_xlfn.IFS(E699&gt;8,"Best",E699=7,"Good",E699&gt;7,"Good",E699&lt;7,"Avg",E699&lt;6,"Below Avg")</f>
        <v>Avg</v>
      </c>
      <c r="I699">
        <v>120</v>
      </c>
      <c r="K699" s="3">
        <v>29348865</v>
      </c>
      <c r="L699" s="3">
        <v>22565910</v>
      </c>
      <c r="M699" s="3">
        <f t="shared" si="42"/>
        <v>6782955</v>
      </c>
      <c r="O699" t="s">
        <v>122</v>
      </c>
      <c r="P699" t="s">
        <v>11</v>
      </c>
      <c r="Q699" t="str">
        <f t="shared" si="43"/>
        <v>Kid</v>
      </c>
    </row>
    <row r="700" spans="1:17" x14ac:dyDescent="0.3">
      <c r="A700" t="s">
        <v>123</v>
      </c>
      <c r="B700">
        <v>2024</v>
      </c>
      <c r="C700" s="5" t="s">
        <v>89</v>
      </c>
      <c r="D700" t="s">
        <v>8</v>
      </c>
      <c r="E700" s="4">
        <v>6</v>
      </c>
      <c r="F700" t="str">
        <f t="shared" si="40"/>
        <v>Don't Watch</v>
      </c>
      <c r="G700" t="str">
        <f t="shared" si="41"/>
        <v>Avg</v>
      </c>
      <c r="H700" t="str" cm="1">
        <f t="array" ref="H700">_xlfn.IFS(E700&gt;8,"Best",E700=7,"Good",E700&gt;7,"Good",E700&lt;7,"Avg",E700&lt;6,"Below Avg")</f>
        <v>Avg</v>
      </c>
      <c r="I700">
        <v>90</v>
      </c>
      <c r="K700" s="3">
        <v>28998900</v>
      </c>
      <c r="L700" s="3">
        <v>22332600</v>
      </c>
      <c r="M700" s="3">
        <f t="shared" si="42"/>
        <v>6666300</v>
      </c>
      <c r="N700" t="s">
        <v>124</v>
      </c>
      <c r="O700" t="s">
        <v>125</v>
      </c>
      <c r="P700" t="s">
        <v>11</v>
      </c>
      <c r="Q700" t="str">
        <f t="shared" si="43"/>
        <v>Kid</v>
      </c>
    </row>
    <row r="701" spans="1:17" x14ac:dyDescent="0.3">
      <c r="A701" t="s">
        <v>126</v>
      </c>
      <c r="B701">
        <v>2024</v>
      </c>
      <c r="C701" s="5" t="s">
        <v>89</v>
      </c>
      <c r="D701" t="s">
        <v>127</v>
      </c>
      <c r="E701" s="4">
        <v>8.5</v>
      </c>
      <c r="F701" t="str">
        <f t="shared" si="40"/>
        <v>Watch</v>
      </c>
      <c r="G701" t="str">
        <f t="shared" si="41"/>
        <v>Good</v>
      </c>
      <c r="H701" t="str" cm="1">
        <f t="array" ref="H701">_xlfn.IFS(E701&gt;8,"Best",E701=7,"Good",E701&gt;7,"Good",E701&lt;7,"Avg",E701&lt;6,"Below Avg")</f>
        <v>Best</v>
      </c>
      <c r="I701">
        <v>133</v>
      </c>
      <c r="K701" s="3">
        <v>31391994</v>
      </c>
      <c r="L701" s="3">
        <v>23927996</v>
      </c>
      <c r="M701" s="3">
        <f t="shared" si="42"/>
        <v>7463998</v>
      </c>
      <c r="N701" t="s">
        <v>128</v>
      </c>
      <c r="O701" t="s">
        <v>129</v>
      </c>
      <c r="P701" t="s">
        <v>11</v>
      </c>
      <c r="Q701" t="str">
        <f t="shared" si="43"/>
        <v>Kid</v>
      </c>
    </row>
    <row r="702" spans="1:17" x14ac:dyDescent="0.3">
      <c r="A702" t="s">
        <v>133</v>
      </c>
      <c r="B702">
        <v>2024</v>
      </c>
      <c r="C702" s="5" t="s">
        <v>89</v>
      </c>
      <c r="D702" t="s">
        <v>65</v>
      </c>
      <c r="E702" s="4">
        <v>7</v>
      </c>
      <c r="F702" t="str">
        <f t="shared" si="40"/>
        <v>Watch</v>
      </c>
      <c r="G702" t="str">
        <f t="shared" si="41"/>
        <v>Avg</v>
      </c>
      <c r="H702" t="str" cm="1">
        <f t="array" ref="H702">_xlfn.IFS(E702&gt;8,"Best",E702=7,"Good",E702&gt;7,"Good",E702&lt;7,"Avg",E702&lt;6,"Below Avg")</f>
        <v>Good</v>
      </c>
      <c r="I702">
        <v>112</v>
      </c>
      <c r="K702" s="3">
        <v>27822351</v>
      </c>
      <c r="L702" s="3">
        <v>21548234</v>
      </c>
      <c r="M702" s="3">
        <f t="shared" si="42"/>
        <v>6274117</v>
      </c>
      <c r="O702" t="s">
        <v>134</v>
      </c>
      <c r="P702" t="s">
        <v>11</v>
      </c>
      <c r="Q702" t="str">
        <f t="shared" si="43"/>
        <v>Kid</v>
      </c>
    </row>
    <row r="703" spans="1:17" x14ac:dyDescent="0.3">
      <c r="A703" t="s">
        <v>135</v>
      </c>
      <c r="B703">
        <v>2024</v>
      </c>
      <c r="C703" s="5" t="s">
        <v>89</v>
      </c>
      <c r="D703" t="s">
        <v>8</v>
      </c>
      <c r="E703" s="4">
        <v>8.1999999999999993</v>
      </c>
      <c r="F703" t="str">
        <f t="shared" si="40"/>
        <v>Watch</v>
      </c>
      <c r="G703" t="str">
        <f t="shared" si="41"/>
        <v>Good</v>
      </c>
      <c r="H703" t="str" cm="1">
        <f t="array" ref="H703">_xlfn.IFS(E703&gt;8,"Best",E703=7,"Good",E703&gt;7,"Good",E703&lt;7,"Avg",E703&lt;6,"Below Avg")</f>
        <v>Best</v>
      </c>
      <c r="I703">
        <v>121</v>
      </c>
      <c r="K703" s="3">
        <v>28852248</v>
      </c>
      <c r="L703" s="3">
        <v>22234832</v>
      </c>
      <c r="M703" s="3">
        <f t="shared" si="42"/>
        <v>6617416</v>
      </c>
      <c r="N703" t="s">
        <v>136</v>
      </c>
      <c r="O703" t="s">
        <v>137</v>
      </c>
      <c r="P703" t="s">
        <v>11</v>
      </c>
      <c r="Q703" t="str">
        <f t="shared" si="43"/>
        <v>Kid</v>
      </c>
    </row>
    <row r="704" spans="1:17" x14ac:dyDescent="0.3">
      <c r="A704" t="s">
        <v>138</v>
      </c>
      <c r="B704">
        <v>2024</v>
      </c>
      <c r="C704" s="5" t="s">
        <v>89</v>
      </c>
      <c r="D704" t="s">
        <v>8</v>
      </c>
      <c r="E704" s="4">
        <v>7.7</v>
      </c>
      <c r="F704" t="str">
        <f t="shared" si="40"/>
        <v>Watch</v>
      </c>
      <c r="G704" t="str">
        <f t="shared" si="41"/>
        <v>Good</v>
      </c>
      <c r="H704" t="str" cm="1">
        <f t="array" ref="H704">_xlfn.IFS(E704&gt;8,"Best",E704=7,"Good",E704&gt;7,"Good",E704&lt;7,"Avg",E704&lt;6,"Below Avg")</f>
        <v>Good</v>
      </c>
      <c r="I704">
        <v>152</v>
      </c>
      <c r="K704" s="3">
        <v>27955671</v>
      </c>
      <c r="L704" s="3">
        <v>21637114</v>
      </c>
      <c r="M704" s="3">
        <f t="shared" si="42"/>
        <v>6318557</v>
      </c>
      <c r="N704" t="s">
        <v>139</v>
      </c>
      <c r="O704" t="s">
        <v>140</v>
      </c>
      <c r="P704" t="s">
        <v>11</v>
      </c>
      <c r="Q704" t="str">
        <f t="shared" si="43"/>
        <v>Kid</v>
      </c>
    </row>
    <row r="705" spans="1:17" x14ac:dyDescent="0.3">
      <c r="A705" t="s">
        <v>141</v>
      </c>
      <c r="B705">
        <v>2024</v>
      </c>
      <c r="C705" s="5" t="s">
        <v>89</v>
      </c>
      <c r="D705" t="s">
        <v>8</v>
      </c>
      <c r="E705" s="4">
        <v>6.7</v>
      </c>
      <c r="F705" t="str">
        <f t="shared" si="40"/>
        <v>Watch</v>
      </c>
      <c r="G705" t="str">
        <f t="shared" si="41"/>
        <v>Avg</v>
      </c>
      <c r="H705" t="str" cm="1">
        <f t="array" ref="H705">_xlfn.IFS(E705&gt;8,"Best",E705=7,"Good",E705&gt;7,"Good",E705&lt;7,"Avg",E705&lt;6,"Below Avg")</f>
        <v>Avg</v>
      </c>
      <c r="I705">
        <v>94</v>
      </c>
      <c r="K705" s="3">
        <v>27262407</v>
      </c>
      <c r="L705" s="3">
        <v>21174938</v>
      </c>
      <c r="M705" s="3">
        <f t="shared" si="42"/>
        <v>6087469</v>
      </c>
      <c r="N705" t="s">
        <v>142</v>
      </c>
      <c r="O705" t="s">
        <v>143</v>
      </c>
      <c r="P705" t="s">
        <v>11</v>
      </c>
      <c r="Q705" t="str">
        <f t="shared" si="43"/>
        <v>Kid</v>
      </c>
    </row>
    <row r="706" spans="1:17" x14ac:dyDescent="0.3">
      <c r="A706" t="s">
        <v>144</v>
      </c>
      <c r="B706">
        <v>2024</v>
      </c>
      <c r="C706" s="5" t="s">
        <v>89</v>
      </c>
      <c r="D706" t="s">
        <v>27</v>
      </c>
      <c r="E706" s="4">
        <v>8.6</v>
      </c>
      <c r="F706" t="str">
        <f t="shared" ref="F706:F769" si="44">IF(E706&gt;6.5,"Watch","Don't Watch")</f>
        <v>Watch</v>
      </c>
      <c r="G706" t="str">
        <f t="shared" ref="G706:G769" si="45">IF(E706&gt;8.5,"Best",IF(E706&gt;7,"Good",IF(E706&gt;5,"Avg",IF(E706&lt;5,"Below Avg",IF(E706&lt;3,"Bad",)))))</f>
        <v>Best</v>
      </c>
      <c r="H706" t="str" cm="1">
        <f t="array" ref="H706">_xlfn.IFS(E706&gt;8,"Best",E706=7,"Good",E706&gt;7,"Good",E706&lt;7,"Avg",E706&lt;6,"Below Avg")</f>
        <v>Best</v>
      </c>
      <c r="I706">
        <v>131</v>
      </c>
      <c r="K706" s="3">
        <v>29635503</v>
      </c>
      <c r="L706" s="3">
        <v>22757002</v>
      </c>
      <c r="M706" s="3">
        <f t="shared" ref="M706:M769" si="46" xml:space="preserve"> (K706-L706)</f>
        <v>6878501</v>
      </c>
      <c r="N706" t="s">
        <v>145</v>
      </c>
      <c r="O706" t="s">
        <v>146</v>
      </c>
      <c r="P706" t="s">
        <v>11</v>
      </c>
      <c r="Q706" t="str">
        <f t="shared" ref="Q706:Q769" si="47">IF(P706="R","Adult","Kid")</f>
        <v>Kid</v>
      </c>
    </row>
    <row r="707" spans="1:17" x14ac:dyDescent="0.3">
      <c r="A707" t="s">
        <v>150</v>
      </c>
      <c r="B707">
        <v>2024</v>
      </c>
      <c r="C707" s="5" t="s">
        <v>89</v>
      </c>
      <c r="D707" t="s">
        <v>27</v>
      </c>
      <c r="E707" s="4">
        <v>6</v>
      </c>
      <c r="F707" t="str">
        <f t="shared" si="44"/>
        <v>Don't Watch</v>
      </c>
      <c r="G707" t="str">
        <f t="shared" si="45"/>
        <v>Avg</v>
      </c>
      <c r="H707" t="str" cm="1">
        <f t="array" ref="H707">_xlfn.IFS(E707&gt;8,"Best",E707=7,"Good",E707&gt;7,"Good",E707&lt;7,"Avg",E707&lt;6,"Below Avg")</f>
        <v>Avg</v>
      </c>
      <c r="I707">
        <v>138</v>
      </c>
      <c r="K707" s="3">
        <v>29658834</v>
      </c>
      <c r="L707" s="3">
        <v>22772556</v>
      </c>
      <c r="M707" s="3">
        <f t="shared" si="46"/>
        <v>6886278</v>
      </c>
      <c r="N707" t="s">
        <v>151</v>
      </c>
      <c r="O707" t="s">
        <v>152</v>
      </c>
      <c r="P707" t="s">
        <v>11</v>
      </c>
      <c r="Q707" t="str">
        <f t="shared" si="47"/>
        <v>Kid</v>
      </c>
    </row>
    <row r="708" spans="1:17" x14ac:dyDescent="0.3">
      <c r="A708" t="s">
        <v>153</v>
      </c>
      <c r="B708">
        <v>2024</v>
      </c>
      <c r="C708" s="5" t="s">
        <v>89</v>
      </c>
      <c r="D708" t="s">
        <v>49</v>
      </c>
      <c r="E708" s="4">
        <v>7.8</v>
      </c>
      <c r="F708" t="str">
        <f t="shared" si="44"/>
        <v>Watch</v>
      </c>
      <c r="G708" t="str">
        <f t="shared" si="45"/>
        <v>Good</v>
      </c>
      <c r="H708" t="str" cm="1">
        <f t="array" ref="H708">_xlfn.IFS(E708&gt;8,"Best",E708=7,"Good",E708&gt;7,"Good",E708&lt;7,"Avg",E708&lt;6,"Below Avg")</f>
        <v>Good</v>
      </c>
      <c r="I708">
        <v>132</v>
      </c>
      <c r="K708" s="3">
        <v>29388861</v>
      </c>
      <c r="L708" s="3">
        <v>22592574</v>
      </c>
      <c r="M708" s="3">
        <f t="shared" si="46"/>
        <v>6796287</v>
      </c>
      <c r="O708" t="s">
        <v>154</v>
      </c>
      <c r="P708" t="s">
        <v>11</v>
      </c>
      <c r="Q708" t="str">
        <f t="shared" si="47"/>
        <v>Kid</v>
      </c>
    </row>
    <row r="709" spans="1:17" x14ac:dyDescent="0.3">
      <c r="A709" t="s">
        <v>155</v>
      </c>
      <c r="B709">
        <v>2024</v>
      </c>
      <c r="C709" s="5" t="s">
        <v>89</v>
      </c>
      <c r="D709" t="s">
        <v>8</v>
      </c>
      <c r="E709" s="4">
        <v>9.1999999999999993</v>
      </c>
      <c r="F709" t="str">
        <f t="shared" si="44"/>
        <v>Watch</v>
      </c>
      <c r="G709" t="str">
        <f t="shared" si="45"/>
        <v>Best</v>
      </c>
      <c r="H709" t="str" cm="1">
        <f t="array" ref="H709">_xlfn.IFS(E709&gt;8,"Best",E709=7,"Good",E709&gt;7,"Good",E709&lt;7,"Avg",E709&lt;6,"Below Avg")</f>
        <v>Best</v>
      </c>
      <c r="I709">
        <v>152</v>
      </c>
      <c r="K709" s="3">
        <v>27455721</v>
      </c>
      <c r="L709" s="3">
        <v>21303814</v>
      </c>
      <c r="M709" s="3">
        <f t="shared" si="46"/>
        <v>6151907</v>
      </c>
      <c r="N709" t="s">
        <v>156</v>
      </c>
      <c r="O709" t="s">
        <v>112</v>
      </c>
      <c r="P709" t="s">
        <v>11</v>
      </c>
      <c r="Q709" t="str">
        <f t="shared" si="47"/>
        <v>Kid</v>
      </c>
    </row>
    <row r="710" spans="1:17" x14ac:dyDescent="0.3">
      <c r="A710" t="s">
        <v>157</v>
      </c>
      <c r="B710">
        <v>2024</v>
      </c>
      <c r="C710" s="5" t="s">
        <v>89</v>
      </c>
      <c r="D710" t="s">
        <v>8</v>
      </c>
      <c r="E710" s="4">
        <v>8.6</v>
      </c>
      <c r="F710" t="str">
        <f t="shared" si="44"/>
        <v>Watch</v>
      </c>
      <c r="G710" t="str">
        <f t="shared" si="45"/>
        <v>Best</v>
      </c>
      <c r="H710" t="str" cm="1">
        <f t="array" ref="H710">_xlfn.IFS(E710&gt;8,"Best",E710=7,"Good",E710&gt;7,"Good",E710&lt;7,"Avg",E710&lt;6,"Below Avg")</f>
        <v>Best</v>
      </c>
      <c r="I710">
        <v>125</v>
      </c>
      <c r="K710" s="3">
        <v>28865580</v>
      </c>
      <c r="L710" s="3">
        <v>22243720</v>
      </c>
      <c r="M710" s="3">
        <f t="shared" si="46"/>
        <v>6621860</v>
      </c>
      <c r="N710" t="s">
        <v>158</v>
      </c>
      <c r="O710" t="s">
        <v>159</v>
      </c>
      <c r="P710" t="s">
        <v>11</v>
      </c>
      <c r="Q710" t="str">
        <f t="shared" si="47"/>
        <v>Kid</v>
      </c>
    </row>
    <row r="711" spans="1:17" x14ac:dyDescent="0.3">
      <c r="A711" t="s">
        <v>0</v>
      </c>
      <c r="B711">
        <v>2024</v>
      </c>
      <c r="C711" s="5" t="s">
        <v>1</v>
      </c>
      <c r="D711" t="s">
        <v>2</v>
      </c>
      <c r="E711" s="4">
        <v>7.8</v>
      </c>
      <c r="F711" t="str">
        <f t="shared" si="44"/>
        <v>Watch</v>
      </c>
      <c r="G711" t="str">
        <f t="shared" si="45"/>
        <v>Good</v>
      </c>
      <c r="H711" t="str" cm="1">
        <f t="array" ref="H711">_xlfn.IFS(E711&gt;8,"Best",E711=7,"Good",E711&gt;7,"Good",E711&lt;7,"Avg",E711&lt;6,"Below Avg")</f>
        <v>Good</v>
      </c>
      <c r="I711">
        <v>138</v>
      </c>
      <c r="K711" s="3">
        <v>45264640</v>
      </c>
      <c r="L711" s="3">
        <v>12501632</v>
      </c>
      <c r="M711" s="3">
        <f t="shared" si="46"/>
        <v>32763008</v>
      </c>
      <c r="O711" t="s">
        <v>3</v>
      </c>
      <c r="P711" t="s">
        <v>4</v>
      </c>
      <c r="Q711" t="str">
        <f t="shared" si="47"/>
        <v>Adult</v>
      </c>
    </row>
    <row r="712" spans="1:17" x14ac:dyDescent="0.3">
      <c r="A712" t="s">
        <v>5</v>
      </c>
      <c r="B712">
        <v>2024</v>
      </c>
      <c r="C712" s="5" t="s">
        <v>1</v>
      </c>
      <c r="D712" t="s">
        <v>2</v>
      </c>
      <c r="E712" s="4">
        <v>7.6</v>
      </c>
      <c r="F712" t="str">
        <f t="shared" si="44"/>
        <v>Watch</v>
      </c>
      <c r="G712" t="str">
        <f t="shared" si="45"/>
        <v>Good</v>
      </c>
      <c r="H712" t="str" cm="1">
        <f t="array" ref="H712">_xlfn.IFS(E712&gt;8,"Best",E712=7,"Good",E712&gt;7,"Good",E712&lt;7,"Avg",E712&lt;6,"Below Avg")</f>
        <v>Good</v>
      </c>
      <c r="I712">
        <v>103</v>
      </c>
      <c r="K712" s="3">
        <v>40487340</v>
      </c>
      <c r="L712" s="3">
        <v>11440392</v>
      </c>
      <c r="M712" s="3">
        <f t="shared" si="46"/>
        <v>29046948</v>
      </c>
      <c r="N712" t="s">
        <v>6</v>
      </c>
      <c r="O712" t="s">
        <v>3</v>
      </c>
      <c r="P712" t="s">
        <v>4</v>
      </c>
      <c r="Q712" t="str">
        <f t="shared" si="47"/>
        <v>Adult</v>
      </c>
    </row>
    <row r="713" spans="1:17" x14ac:dyDescent="0.3">
      <c r="A713" t="s">
        <v>22</v>
      </c>
      <c r="B713">
        <v>2024</v>
      </c>
      <c r="C713" s="5" t="s">
        <v>1</v>
      </c>
      <c r="D713" t="s">
        <v>23</v>
      </c>
      <c r="E713" s="4">
        <v>8.9</v>
      </c>
      <c r="F713" t="str">
        <f t="shared" si="44"/>
        <v>Watch</v>
      </c>
      <c r="G713" t="str">
        <f t="shared" si="45"/>
        <v>Best</v>
      </c>
      <c r="H713" t="str" cm="1">
        <f t="array" ref="H713">_xlfn.IFS(E713&gt;8,"Best",E713=7,"Good",E713&gt;7,"Good",E713&lt;7,"Avg",E713&lt;6,"Below Avg")</f>
        <v>Best</v>
      </c>
      <c r="I713">
        <v>137</v>
      </c>
      <c r="K713" s="3">
        <v>28655601</v>
      </c>
      <c r="L713" s="3">
        <v>22103734</v>
      </c>
      <c r="M713" s="3">
        <f t="shared" si="46"/>
        <v>6551867</v>
      </c>
      <c r="N713" t="s">
        <v>24</v>
      </c>
      <c r="O713" t="s">
        <v>25</v>
      </c>
      <c r="P713" t="s">
        <v>11</v>
      </c>
      <c r="Q713" t="str">
        <f t="shared" si="47"/>
        <v>Kid</v>
      </c>
    </row>
    <row r="714" spans="1:17" x14ac:dyDescent="0.3">
      <c r="A714" t="s">
        <v>26</v>
      </c>
      <c r="B714">
        <v>2024</v>
      </c>
      <c r="C714" s="5" t="s">
        <v>1</v>
      </c>
      <c r="D714" t="s">
        <v>27</v>
      </c>
      <c r="E714" s="4">
        <v>7.5</v>
      </c>
      <c r="F714" t="str">
        <f t="shared" si="44"/>
        <v>Watch</v>
      </c>
      <c r="G714" t="str">
        <f t="shared" si="45"/>
        <v>Good</v>
      </c>
      <c r="H714" t="str" cm="1">
        <f t="array" ref="H714">_xlfn.IFS(E714&gt;8,"Best",E714=7,"Good",E714&gt;7,"Good",E714&lt;7,"Avg",E714&lt;6,"Below Avg")</f>
        <v>Good</v>
      </c>
      <c r="I714">
        <v>114</v>
      </c>
      <c r="K714" s="3">
        <v>28828917</v>
      </c>
      <c r="L714" s="3">
        <v>22219278</v>
      </c>
      <c r="M714" s="3">
        <f t="shared" si="46"/>
        <v>6609639</v>
      </c>
      <c r="N714" t="s">
        <v>28</v>
      </c>
      <c r="O714" t="s">
        <v>29</v>
      </c>
      <c r="P714" t="s">
        <v>11</v>
      </c>
      <c r="Q714" t="str">
        <f t="shared" si="47"/>
        <v>Kid</v>
      </c>
    </row>
    <row r="715" spans="1:17" x14ac:dyDescent="0.3">
      <c r="A715" t="s">
        <v>52</v>
      </c>
      <c r="B715">
        <v>2024</v>
      </c>
      <c r="C715" s="5" t="s">
        <v>1</v>
      </c>
      <c r="D715" t="s">
        <v>39</v>
      </c>
      <c r="E715" s="4">
        <v>7.4</v>
      </c>
      <c r="F715" t="str">
        <f t="shared" si="44"/>
        <v>Watch</v>
      </c>
      <c r="G715" t="str">
        <f t="shared" si="45"/>
        <v>Good</v>
      </c>
      <c r="H715" t="str" cm="1">
        <f t="array" ref="H715">_xlfn.IFS(E715&gt;8,"Best",E715=7,"Good",E715&gt;7,"Good",E715&lt;7,"Avg",E715&lt;6,"Below Avg")</f>
        <v>Good</v>
      </c>
      <c r="I715">
        <v>116</v>
      </c>
      <c r="K715" s="3">
        <v>27835683</v>
      </c>
      <c r="L715" s="3">
        <v>21557122</v>
      </c>
      <c r="M715" s="3">
        <f t="shared" si="46"/>
        <v>6278561</v>
      </c>
      <c r="O715" t="s">
        <v>53</v>
      </c>
      <c r="P715" t="s">
        <v>11</v>
      </c>
      <c r="Q715" t="str">
        <f t="shared" si="47"/>
        <v>Kid</v>
      </c>
    </row>
    <row r="716" spans="1:17" x14ac:dyDescent="0.3">
      <c r="A716" t="s">
        <v>54</v>
      </c>
      <c r="B716">
        <v>2024</v>
      </c>
      <c r="C716" s="5" t="s">
        <v>1</v>
      </c>
      <c r="D716" t="s">
        <v>8</v>
      </c>
      <c r="E716" s="4">
        <v>8.5</v>
      </c>
      <c r="F716" t="str">
        <f t="shared" si="44"/>
        <v>Watch</v>
      </c>
      <c r="G716" t="str">
        <f t="shared" si="45"/>
        <v>Good</v>
      </c>
      <c r="H716" t="str" cm="1">
        <f t="array" ref="H716">_xlfn.IFS(E716&gt;8,"Best",E716=7,"Good",E716&gt;7,"Good",E716&lt;7,"Avg",E716&lt;6,"Below Avg")</f>
        <v>Best</v>
      </c>
      <c r="I716">
        <v>91</v>
      </c>
      <c r="K716" s="3">
        <v>26002533</v>
      </c>
      <c r="L716" s="3">
        <v>20335022</v>
      </c>
      <c r="M716" s="3">
        <f t="shared" si="46"/>
        <v>5667511</v>
      </c>
      <c r="N716" t="s">
        <v>55</v>
      </c>
      <c r="O716" t="s">
        <v>56</v>
      </c>
      <c r="P716" t="s">
        <v>11</v>
      </c>
      <c r="Q716" t="str">
        <f t="shared" si="47"/>
        <v>Kid</v>
      </c>
    </row>
    <row r="717" spans="1:17" x14ac:dyDescent="0.3">
      <c r="A717" t="s">
        <v>70</v>
      </c>
      <c r="B717">
        <v>2024</v>
      </c>
      <c r="C717" s="5" t="s">
        <v>1</v>
      </c>
      <c r="D717" t="s">
        <v>8</v>
      </c>
      <c r="E717" s="4">
        <v>7.6</v>
      </c>
      <c r="F717" t="str">
        <f t="shared" si="44"/>
        <v>Watch</v>
      </c>
      <c r="G717" t="str">
        <f t="shared" si="45"/>
        <v>Good</v>
      </c>
      <c r="H717" t="str" cm="1">
        <f t="array" ref="H717">_xlfn.IFS(E717&gt;8,"Best",E717=7,"Good",E717&gt;7,"Good",E717&lt;7,"Avg",E717&lt;6,"Below Avg")</f>
        <v>Good</v>
      </c>
      <c r="I717">
        <v>133</v>
      </c>
      <c r="K717" s="3">
        <v>31142019</v>
      </c>
      <c r="L717" s="3">
        <v>23761346</v>
      </c>
      <c r="M717" s="3">
        <f t="shared" si="46"/>
        <v>7380673</v>
      </c>
      <c r="N717" t="s">
        <v>71</v>
      </c>
      <c r="O717" t="s">
        <v>72</v>
      </c>
      <c r="P717" t="s">
        <v>11</v>
      </c>
      <c r="Q717" t="str">
        <f t="shared" si="47"/>
        <v>Kid</v>
      </c>
    </row>
    <row r="718" spans="1:17" x14ac:dyDescent="0.3">
      <c r="A718" t="s">
        <v>73</v>
      </c>
      <c r="B718">
        <v>2024</v>
      </c>
      <c r="C718" s="5" t="s">
        <v>1</v>
      </c>
      <c r="D718" t="s">
        <v>8</v>
      </c>
      <c r="E718" s="4">
        <v>8.8000000000000007</v>
      </c>
      <c r="F718" t="str">
        <f t="shared" si="44"/>
        <v>Watch</v>
      </c>
      <c r="G718" t="str">
        <f t="shared" si="45"/>
        <v>Best</v>
      </c>
      <c r="H718" t="str" cm="1">
        <f t="array" ref="H718">_xlfn.IFS(E718&gt;8,"Best",E718=7,"Good",E718&gt;7,"Good",E718&lt;7,"Avg",E718&lt;6,"Below Avg")</f>
        <v>Best</v>
      </c>
      <c r="I718">
        <v>106</v>
      </c>
      <c r="K718" s="3">
        <v>30302103</v>
      </c>
      <c r="L718" s="3">
        <v>23201402</v>
      </c>
      <c r="M718" s="3">
        <f t="shared" si="46"/>
        <v>7100701</v>
      </c>
      <c r="O718" t="s">
        <v>74</v>
      </c>
      <c r="P718" t="s">
        <v>11</v>
      </c>
      <c r="Q718" t="str">
        <f t="shared" si="47"/>
        <v>Kid</v>
      </c>
    </row>
    <row r="719" spans="1:17" x14ac:dyDescent="0.3">
      <c r="A719" t="s">
        <v>7</v>
      </c>
      <c r="B719">
        <v>2024</v>
      </c>
      <c r="C719" s="5" t="s">
        <v>1</v>
      </c>
      <c r="D719" t="s">
        <v>8</v>
      </c>
      <c r="E719" s="4">
        <v>7.4</v>
      </c>
      <c r="F719" t="str">
        <f t="shared" si="44"/>
        <v>Watch</v>
      </c>
      <c r="G719" t="str">
        <f t="shared" si="45"/>
        <v>Good</v>
      </c>
      <c r="H719" t="str" cm="1">
        <f t="array" ref="H719">_xlfn.IFS(E719&gt;8,"Best",E719=7,"Good",E719&gt;7,"Good",E719&lt;7,"Avg",E719&lt;6,"Below Avg")</f>
        <v>Good</v>
      </c>
      <c r="I719">
        <v>128</v>
      </c>
      <c r="K719" s="3">
        <v>29375529</v>
      </c>
      <c r="L719" s="3">
        <v>22583686</v>
      </c>
      <c r="M719" s="3">
        <f t="shared" si="46"/>
        <v>6791843</v>
      </c>
      <c r="N719" t="s">
        <v>9</v>
      </c>
      <c r="O719" t="s">
        <v>10</v>
      </c>
      <c r="P719" t="s">
        <v>11</v>
      </c>
      <c r="Q719" t="str">
        <f t="shared" si="47"/>
        <v>Kid</v>
      </c>
    </row>
    <row r="720" spans="1:17" x14ac:dyDescent="0.3">
      <c r="A720" t="s">
        <v>12</v>
      </c>
      <c r="B720">
        <v>2024</v>
      </c>
      <c r="C720" s="5" t="s">
        <v>1</v>
      </c>
      <c r="D720" t="s">
        <v>8</v>
      </c>
      <c r="E720" s="4">
        <v>9.1999999999999993</v>
      </c>
      <c r="F720" t="str">
        <f t="shared" si="44"/>
        <v>Watch</v>
      </c>
      <c r="G720" t="str">
        <f t="shared" si="45"/>
        <v>Best</v>
      </c>
      <c r="H720" t="str" cm="1">
        <f t="array" ref="H720">_xlfn.IFS(E720&gt;8,"Best",E720=7,"Good",E720&gt;7,"Good",E720&lt;7,"Avg",E720&lt;6,"Below Avg")</f>
        <v>Best</v>
      </c>
      <c r="I720">
        <v>158</v>
      </c>
      <c r="K720" s="3">
        <v>28225644</v>
      </c>
      <c r="L720" s="3">
        <v>21817096</v>
      </c>
      <c r="M720" s="3">
        <f t="shared" si="46"/>
        <v>6408548</v>
      </c>
      <c r="N720" t="s">
        <v>13</v>
      </c>
      <c r="O720" t="s">
        <v>14</v>
      </c>
      <c r="P720" t="s">
        <v>11</v>
      </c>
      <c r="Q720" t="str">
        <f t="shared" si="47"/>
        <v>Kid</v>
      </c>
    </row>
    <row r="721" spans="1:17" x14ac:dyDescent="0.3">
      <c r="A721" t="s">
        <v>15</v>
      </c>
      <c r="B721">
        <v>2024</v>
      </c>
      <c r="C721" s="5" t="s">
        <v>1</v>
      </c>
      <c r="D721" t="s">
        <v>8</v>
      </c>
      <c r="E721" s="4">
        <v>7.1</v>
      </c>
      <c r="F721" t="str">
        <f t="shared" si="44"/>
        <v>Watch</v>
      </c>
      <c r="G721" t="str">
        <f t="shared" si="45"/>
        <v>Good</v>
      </c>
      <c r="H721" t="str" cm="1">
        <f t="array" ref="H721">_xlfn.IFS(E721&gt;8,"Best",E721=7,"Good",E721&gt;7,"Good",E721&lt;7,"Avg",E721&lt;6,"Below Avg")</f>
        <v>Good</v>
      </c>
      <c r="I721">
        <v>92</v>
      </c>
      <c r="K721" s="3">
        <v>29255541</v>
      </c>
      <c r="L721" s="3">
        <v>22503694</v>
      </c>
      <c r="M721" s="3">
        <f t="shared" si="46"/>
        <v>6751847</v>
      </c>
      <c r="N721" t="s">
        <v>16</v>
      </c>
      <c r="O721" t="s">
        <v>17</v>
      </c>
      <c r="P721" t="s">
        <v>11</v>
      </c>
      <c r="Q721" t="str">
        <f t="shared" si="47"/>
        <v>Kid</v>
      </c>
    </row>
    <row r="722" spans="1:17" x14ac:dyDescent="0.3">
      <c r="A722" t="s">
        <v>18</v>
      </c>
      <c r="B722">
        <v>2024</v>
      </c>
      <c r="C722" s="5" t="s">
        <v>1</v>
      </c>
      <c r="D722" t="s">
        <v>19</v>
      </c>
      <c r="E722" s="4">
        <v>8.1999999999999993</v>
      </c>
      <c r="F722" t="str">
        <f t="shared" si="44"/>
        <v>Watch</v>
      </c>
      <c r="G722" t="str">
        <f t="shared" si="45"/>
        <v>Good</v>
      </c>
      <c r="H722" t="str" cm="1">
        <f t="array" ref="H722">_xlfn.IFS(E722&gt;8,"Best",E722=7,"Good",E722&gt;7,"Good",E722&lt;7,"Avg",E722&lt;6,"Below Avg")</f>
        <v>Best</v>
      </c>
      <c r="I722">
        <v>160</v>
      </c>
      <c r="K722" s="3">
        <v>29732160</v>
      </c>
      <c r="L722" s="3">
        <v>22821440</v>
      </c>
      <c r="M722" s="3">
        <f t="shared" si="46"/>
        <v>6910720</v>
      </c>
      <c r="N722" t="s">
        <v>20</v>
      </c>
      <c r="O722" t="s">
        <v>21</v>
      </c>
      <c r="P722" t="s">
        <v>11</v>
      </c>
      <c r="Q722" t="str">
        <f t="shared" si="47"/>
        <v>Kid</v>
      </c>
    </row>
    <row r="723" spans="1:17" x14ac:dyDescent="0.3">
      <c r="A723" t="s">
        <v>30</v>
      </c>
      <c r="B723">
        <v>2024</v>
      </c>
      <c r="C723" s="5" t="s">
        <v>1</v>
      </c>
      <c r="D723" t="s">
        <v>31</v>
      </c>
      <c r="E723" s="4">
        <v>7.7</v>
      </c>
      <c r="F723" t="str">
        <f t="shared" si="44"/>
        <v>Watch</v>
      </c>
      <c r="G723" t="str">
        <f t="shared" si="45"/>
        <v>Good</v>
      </c>
      <c r="H723" t="str" cm="1">
        <f t="array" ref="H723">_xlfn.IFS(E723&gt;8,"Best",E723=7,"Good",E723&gt;7,"Good",E723&lt;7,"Avg",E723&lt;6,"Below Avg")</f>
        <v>Good</v>
      </c>
      <c r="I723">
        <v>119</v>
      </c>
      <c r="K723" s="3">
        <v>27845682</v>
      </c>
      <c r="L723" s="3">
        <v>21563788</v>
      </c>
      <c r="M723" s="3">
        <f t="shared" si="46"/>
        <v>6281894</v>
      </c>
      <c r="N723" t="s">
        <v>32</v>
      </c>
      <c r="O723" t="s">
        <v>33</v>
      </c>
      <c r="P723" t="s">
        <v>11</v>
      </c>
      <c r="Q723" t="str">
        <f t="shared" si="47"/>
        <v>Kid</v>
      </c>
    </row>
    <row r="724" spans="1:17" x14ac:dyDescent="0.3">
      <c r="A724" t="s">
        <v>34</v>
      </c>
      <c r="B724">
        <v>2024</v>
      </c>
      <c r="C724" s="5" t="s">
        <v>1</v>
      </c>
      <c r="D724" t="s">
        <v>35</v>
      </c>
      <c r="E724" s="4">
        <v>7.4</v>
      </c>
      <c r="F724" t="str">
        <f t="shared" si="44"/>
        <v>Watch</v>
      </c>
      <c r="G724" t="str">
        <f t="shared" si="45"/>
        <v>Good</v>
      </c>
      <c r="H724" t="str" cm="1">
        <f t="array" ref="H724">_xlfn.IFS(E724&gt;8,"Best",E724=7,"Good",E724&gt;7,"Good",E724&lt;7,"Avg",E724&lt;6,"Below Avg")</f>
        <v>Good</v>
      </c>
      <c r="I724">
        <v>113</v>
      </c>
      <c r="K724" s="3">
        <v>26075859</v>
      </c>
      <c r="L724" s="3">
        <v>20383906</v>
      </c>
      <c r="M724" s="3">
        <f t="shared" si="46"/>
        <v>5691953</v>
      </c>
      <c r="N724" t="s">
        <v>36</v>
      </c>
      <c r="O724" t="s">
        <v>37</v>
      </c>
      <c r="P724" t="s">
        <v>11</v>
      </c>
      <c r="Q724" t="str">
        <f t="shared" si="47"/>
        <v>Kid</v>
      </c>
    </row>
    <row r="725" spans="1:17" x14ac:dyDescent="0.3">
      <c r="A725" t="s">
        <v>38</v>
      </c>
      <c r="B725">
        <v>2024</v>
      </c>
      <c r="C725" s="5" t="s">
        <v>1</v>
      </c>
      <c r="D725" t="s">
        <v>39</v>
      </c>
      <c r="E725" s="4">
        <v>8.6</v>
      </c>
      <c r="F725" t="str">
        <f t="shared" si="44"/>
        <v>Watch</v>
      </c>
      <c r="G725" t="str">
        <f t="shared" si="45"/>
        <v>Best</v>
      </c>
      <c r="H725" t="str" cm="1">
        <f t="array" ref="H725">_xlfn.IFS(E725&gt;8,"Best",E725=7,"Good",E725&gt;7,"Good",E725&lt;7,"Avg",E725&lt;6,"Below Avg")</f>
        <v>Best</v>
      </c>
      <c r="I725">
        <v>104</v>
      </c>
      <c r="K725" s="3">
        <v>27545712</v>
      </c>
      <c r="L725" s="3">
        <v>21363808</v>
      </c>
      <c r="M725" s="3">
        <f t="shared" si="46"/>
        <v>6181904</v>
      </c>
      <c r="N725" t="s">
        <v>40</v>
      </c>
      <c r="O725" t="s">
        <v>41</v>
      </c>
      <c r="P725" t="s">
        <v>11</v>
      </c>
      <c r="Q725" t="str">
        <f t="shared" si="47"/>
        <v>Kid</v>
      </c>
    </row>
    <row r="726" spans="1:17" x14ac:dyDescent="0.3">
      <c r="A726" t="s">
        <v>42</v>
      </c>
      <c r="B726">
        <v>2024</v>
      </c>
      <c r="C726" s="5" t="s">
        <v>1</v>
      </c>
      <c r="D726" t="s">
        <v>8</v>
      </c>
      <c r="E726" s="4">
        <v>9.1999999999999993</v>
      </c>
      <c r="F726" t="str">
        <f t="shared" si="44"/>
        <v>Watch</v>
      </c>
      <c r="G726" t="str">
        <f t="shared" si="45"/>
        <v>Best</v>
      </c>
      <c r="H726" t="str" cm="1">
        <f t="array" ref="H726">_xlfn.IFS(E726&gt;8,"Best",E726=7,"Good",E726&gt;7,"Good",E726&lt;7,"Avg",E726&lt;6,"Below Avg")</f>
        <v>Best</v>
      </c>
      <c r="I726">
        <v>164</v>
      </c>
      <c r="K726" s="3">
        <v>31745292</v>
      </c>
      <c r="L726" s="3">
        <v>24163528</v>
      </c>
      <c r="M726" s="3">
        <f t="shared" si="46"/>
        <v>7581764</v>
      </c>
      <c r="N726" t="s">
        <v>43</v>
      </c>
      <c r="O726" t="s">
        <v>44</v>
      </c>
      <c r="P726" t="s">
        <v>11</v>
      </c>
      <c r="Q726" t="str">
        <f t="shared" si="47"/>
        <v>Kid</v>
      </c>
    </row>
    <row r="727" spans="1:17" x14ac:dyDescent="0.3">
      <c r="A727" t="s">
        <v>45</v>
      </c>
      <c r="B727">
        <v>2024</v>
      </c>
      <c r="C727" s="5" t="s">
        <v>1</v>
      </c>
      <c r="D727" t="s">
        <v>2</v>
      </c>
      <c r="E727" s="4">
        <v>7.8</v>
      </c>
      <c r="F727" t="str">
        <f t="shared" si="44"/>
        <v>Watch</v>
      </c>
      <c r="G727" t="str">
        <f t="shared" si="45"/>
        <v>Good</v>
      </c>
      <c r="H727" t="str" cm="1">
        <f t="array" ref="H727">_xlfn.IFS(E727&gt;8,"Best",E727=7,"Good",E727&gt;7,"Good",E727&lt;7,"Avg",E727&lt;6,"Below Avg")</f>
        <v>Good</v>
      </c>
      <c r="I727">
        <v>159</v>
      </c>
      <c r="K727" s="3">
        <v>47464420</v>
      </c>
      <c r="L727" s="3">
        <v>12990296</v>
      </c>
      <c r="M727" s="3">
        <f t="shared" si="46"/>
        <v>34474124</v>
      </c>
      <c r="N727" t="s">
        <v>46</v>
      </c>
      <c r="O727" t="s">
        <v>47</v>
      </c>
      <c r="P727" t="s">
        <v>4</v>
      </c>
      <c r="Q727" t="str">
        <f t="shared" si="47"/>
        <v>Adult</v>
      </c>
    </row>
    <row r="728" spans="1:17" x14ac:dyDescent="0.3">
      <c r="A728" t="s">
        <v>48</v>
      </c>
      <c r="B728">
        <v>2024</v>
      </c>
      <c r="C728" s="5" t="s">
        <v>1</v>
      </c>
      <c r="D728" t="s">
        <v>49</v>
      </c>
      <c r="E728" s="4">
        <v>7.8</v>
      </c>
      <c r="F728" t="str">
        <f t="shared" si="44"/>
        <v>Watch</v>
      </c>
      <c r="G728" t="str">
        <f t="shared" si="45"/>
        <v>Good</v>
      </c>
      <c r="H728" t="str" cm="1">
        <f t="array" ref="H728">_xlfn.IFS(E728&gt;8,"Best",E728=7,"Good",E728&gt;7,"Good",E728&lt;7,"Avg",E728&lt;6,"Below Avg")</f>
        <v>Good</v>
      </c>
      <c r="I728">
        <v>120</v>
      </c>
      <c r="K728" s="3">
        <v>27849015</v>
      </c>
      <c r="L728" s="3">
        <v>21566010</v>
      </c>
      <c r="M728" s="3">
        <f t="shared" si="46"/>
        <v>6283005</v>
      </c>
      <c r="N728" t="s">
        <v>50</v>
      </c>
      <c r="O728" t="s">
        <v>51</v>
      </c>
      <c r="P728" t="s">
        <v>11</v>
      </c>
      <c r="Q728" t="str">
        <f t="shared" si="47"/>
        <v>Kid</v>
      </c>
    </row>
    <row r="729" spans="1:17" x14ac:dyDescent="0.3">
      <c r="A729" t="s">
        <v>57</v>
      </c>
      <c r="B729">
        <v>2024</v>
      </c>
      <c r="C729" s="5" t="s">
        <v>1</v>
      </c>
      <c r="D729" t="s">
        <v>8</v>
      </c>
      <c r="E729" s="4">
        <v>9</v>
      </c>
      <c r="F729" t="str">
        <f t="shared" si="44"/>
        <v>Watch</v>
      </c>
      <c r="G729" t="str">
        <f t="shared" si="45"/>
        <v>Best</v>
      </c>
      <c r="H729" t="str" cm="1">
        <f t="array" ref="H729">_xlfn.IFS(E729&gt;8,"Best",E729=7,"Good",E729&gt;7,"Good",E729&lt;7,"Avg",E729&lt;6,"Below Avg")</f>
        <v>Best</v>
      </c>
      <c r="I729">
        <v>159</v>
      </c>
      <c r="K729" s="3">
        <v>27229077</v>
      </c>
      <c r="L729" s="3">
        <v>21152718</v>
      </c>
      <c r="M729" s="3">
        <f t="shared" si="46"/>
        <v>6076359</v>
      </c>
      <c r="N729" t="s">
        <v>58</v>
      </c>
      <c r="O729" t="s">
        <v>59</v>
      </c>
      <c r="P729" t="s">
        <v>11</v>
      </c>
      <c r="Q729" t="str">
        <f t="shared" si="47"/>
        <v>Kid</v>
      </c>
    </row>
    <row r="730" spans="1:17" x14ac:dyDescent="0.3">
      <c r="A730" t="s">
        <v>60</v>
      </c>
      <c r="B730">
        <v>2024</v>
      </c>
      <c r="C730" s="5" t="s">
        <v>1</v>
      </c>
      <c r="D730" t="s">
        <v>61</v>
      </c>
      <c r="E730" s="4">
        <v>8.6</v>
      </c>
      <c r="F730" t="str">
        <f t="shared" si="44"/>
        <v>Watch</v>
      </c>
      <c r="G730" t="str">
        <f t="shared" si="45"/>
        <v>Best</v>
      </c>
      <c r="H730" t="str" cm="1">
        <f t="array" ref="H730">_xlfn.IFS(E730&gt;8,"Best",E730=7,"Good",E730&gt;7,"Good",E730&lt;7,"Avg",E730&lt;6,"Below Avg")</f>
        <v>Best</v>
      </c>
      <c r="I730">
        <v>101</v>
      </c>
      <c r="K730" s="3">
        <v>31285338</v>
      </c>
      <c r="L730" s="3">
        <v>23856892</v>
      </c>
      <c r="M730" s="3">
        <f t="shared" si="46"/>
        <v>7428446</v>
      </c>
      <c r="N730" t="s">
        <v>62</v>
      </c>
      <c r="O730" t="s">
        <v>63</v>
      </c>
      <c r="P730" t="s">
        <v>11</v>
      </c>
      <c r="Q730" t="str">
        <f t="shared" si="47"/>
        <v>Kid</v>
      </c>
    </row>
    <row r="731" spans="1:17" x14ac:dyDescent="0.3">
      <c r="A731" t="s">
        <v>64</v>
      </c>
      <c r="B731">
        <v>2024</v>
      </c>
      <c r="C731" s="5" t="s">
        <v>1</v>
      </c>
      <c r="D731" t="s">
        <v>65</v>
      </c>
      <c r="E731" s="4">
        <v>6.6</v>
      </c>
      <c r="F731" t="str">
        <f t="shared" si="44"/>
        <v>Watch</v>
      </c>
      <c r="G731" t="str">
        <f t="shared" si="45"/>
        <v>Avg</v>
      </c>
      <c r="H731" t="str" cm="1">
        <f t="array" ref="H731">_xlfn.IFS(E731&gt;8,"Best",E731=7,"Good",E731&gt;7,"Good",E731&lt;7,"Avg",E731&lt;6,"Below Avg")</f>
        <v>Avg</v>
      </c>
      <c r="I731">
        <v>90</v>
      </c>
      <c r="K731" s="3">
        <v>28248975</v>
      </c>
      <c r="L731" s="3">
        <v>21832650</v>
      </c>
      <c r="M731" s="3">
        <f t="shared" si="46"/>
        <v>6416325</v>
      </c>
      <c r="N731" t="s">
        <v>66</v>
      </c>
      <c r="O731" t="s">
        <v>67</v>
      </c>
      <c r="P731" t="s">
        <v>11</v>
      </c>
      <c r="Q731" t="str">
        <f t="shared" si="47"/>
        <v>Kid</v>
      </c>
    </row>
    <row r="732" spans="1:17" x14ac:dyDescent="0.3">
      <c r="A732" t="s">
        <v>68</v>
      </c>
      <c r="B732">
        <v>2024</v>
      </c>
      <c r="C732" s="5" t="s">
        <v>1</v>
      </c>
      <c r="D732" t="s">
        <v>8</v>
      </c>
      <c r="E732" s="4">
        <v>7.2</v>
      </c>
      <c r="F732" t="str">
        <f t="shared" si="44"/>
        <v>Watch</v>
      </c>
      <c r="G732" t="str">
        <f t="shared" si="45"/>
        <v>Good</v>
      </c>
      <c r="H732" t="str" cm="1">
        <f t="array" ref="H732">_xlfn.IFS(E732&gt;8,"Best",E732=7,"Good",E732&gt;7,"Good",E732&lt;7,"Avg",E732&lt;6,"Below Avg")</f>
        <v>Good</v>
      </c>
      <c r="I732">
        <v>120</v>
      </c>
      <c r="K732" s="3">
        <v>28598940</v>
      </c>
      <c r="L732" s="3">
        <v>22065960</v>
      </c>
      <c r="M732" s="3">
        <f t="shared" si="46"/>
        <v>6532980</v>
      </c>
      <c r="O732" t="s">
        <v>69</v>
      </c>
      <c r="P732" t="s">
        <v>11</v>
      </c>
      <c r="Q732" t="str">
        <f t="shared" si="47"/>
        <v>Kid</v>
      </c>
    </row>
    <row r="733" spans="1:17" x14ac:dyDescent="0.3">
      <c r="A733" t="s">
        <v>75</v>
      </c>
      <c r="B733">
        <v>2024</v>
      </c>
      <c r="C733" s="5" t="s">
        <v>1</v>
      </c>
      <c r="D733" t="s">
        <v>23</v>
      </c>
      <c r="E733" s="4">
        <v>8.1</v>
      </c>
      <c r="F733" t="str">
        <f t="shared" si="44"/>
        <v>Watch</v>
      </c>
      <c r="G733" t="str">
        <f t="shared" si="45"/>
        <v>Good</v>
      </c>
      <c r="H733" t="str" cm="1">
        <f t="array" ref="H733">_xlfn.IFS(E733&gt;8,"Best",E733=7,"Good",E733&gt;7,"Good",E733&lt;7,"Avg",E733&lt;6,"Below Avg")</f>
        <v>Best</v>
      </c>
      <c r="I733">
        <v>102</v>
      </c>
      <c r="K733" s="3">
        <v>29288871</v>
      </c>
      <c r="L733" s="3">
        <v>22525914</v>
      </c>
      <c r="M733" s="3">
        <f t="shared" si="46"/>
        <v>6762957</v>
      </c>
      <c r="N733" t="s">
        <v>76</v>
      </c>
      <c r="O733" t="s">
        <v>77</v>
      </c>
      <c r="P733" t="s">
        <v>11</v>
      </c>
      <c r="Q733" t="str">
        <f t="shared" si="47"/>
        <v>Kid</v>
      </c>
    </row>
    <row r="734" spans="1:17" x14ac:dyDescent="0.3">
      <c r="A734" t="s">
        <v>78</v>
      </c>
      <c r="B734">
        <v>2024</v>
      </c>
      <c r="C734" s="5" t="s">
        <v>1</v>
      </c>
      <c r="D734" t="s">
        <v>8</v>
      </c>
      <c r="E734" s="4">
        <v>7.3</v>
      </c>
      <c r="F734" t="str">
        <f t="shared" si="44"/>
        <v>Watch</v>
      </c>
      <c r="G734" t="str">
        <f t="shared" si="45"/>
        <v>Good</v>
      </c>
      <c r="H734" t="str" cm="1">
        <f t="array" ref="H734">_xlfn.IFS(E734&gt;8,"Best",E734=7,"Good",E734&gt;7,"Good",E734&lt;7,"Avg",E734&lt;6,"Below Avg")</f>
        <v>Good</v>
      </c>
      <c r="I734">
        <v>139</v>
      </c>
      <c r="K734" s="3">
        <v>33661767</v>
      </c>
      <c r="L734" s="3">
        <v>25441178</v>
      </c>
      <c r="M734" s="3">
        <f t="shared" si="46"/>
        <v>8220589</v>
      </c>
      <c r="N734" t="s">
        <v>79</v>
      </c>
      <c r="O734" t="s">
        <v>80</v>
      </c>
      <c r="P734" t="s">
        <v>11</v>
      </c>
      <c r="Q734" t="str">
        <f t="shared" si="47"/>
        <v>Kid</v>
      </c>
    </row>
    <row r="735" spans="1:17" x14ac:dyDescent="0.3">
      <c r="A735" t="s">
        <v>81</v>
      </c>
      <c r="B735">
        <v>2024</v>
      </c>
      <c r="C735" s="5" t="s">
        <v>1</v>
      </c>
      <c r="D735" t="s">
        <v>8</v>
      </c>
      <c r="E735" s="4">
        <v>9.1999999999999993</v>
      </c>
      <c r="F735" t="str">
        <f t="shared" si="44"/>
        <v>Watch</v>
      </c>
      <c r="G735" t="str">
        <f t="shared" si="45"/>
        <v>Best</v>
      </c>
      <c r="H735" t="str" cm="1">
        <f t="array" ref="H735">_xlfn.IFS(E735&gt;8,"Best",E735=7,"Good",E735&gt;7,"Good",E735&lt;7,"Avg",E735&lt;6,"Below Avg")</f>
        <v>Best</v>
      </c>
      <c r="I735">
        <v>131</v>
      </c>
      <c r="K735" s="3">
        <v>28885578</v>
      </c>
      <c r="L735" s="3">
        <v>22257052</v>
      </c>
      <c r="M735" s="3">
        <f t="shared" si="46"/>
        <v>6628526</v>
      </c>
      <c r="N735" t="s">
        <v>82</v>
      </c>
      <c r="O735" t="s">
        <v>83</v>
      </c>
      <c r="P735" t="s">
        <v>11</v>
      </c>
      <c r="Q735" t="str">
        <f t="shared" si="47"/>
        <v>Kid</v>
      </c>
    </row>
    <row r="736" spans="1:17" x14ac:dyDescent="0.3">
      <c r="A736" t="s">
        <v>84</v>
      </c>
      <c r="B736">
        <v>2024</v>
      </c>
      <c r="C736" s="5" t="s">
        <v>1</v>
      </c>
      <c r="D736" t="s">
        <v>85</v>
      </c>
      <c r="E736" s="4">
        <v>7.4</v>
      </c>
      <c r="F736" t="str">
        <f t="shared" si="44"/>
        <v>Watch</v>
      </c>
      <c r="G736" t="str">
        <f t="shared" si="45"/>
        <v>Good</v>
      </c>
      <c r="H736" t="str" cm="1">
        <f t="array" ref="H736">_xlfn.IFS(E736&gt;8,"Best",E736=7,"Good",E736&gt;7,"Good",E736&lt;7,"Avg",E736&lt;6,"Below Avg")</f>
        <v>Good</v>
      </c>
      <c r="I736">
        <v>107</v>
      </c>
      <c r="K736" s="3">
        <v>46342310</v>
      </c>
      <c r="L736" s="3">
        <v>12741028</v>
      </c>
      <c r="M736" s="3">
        <f t="shared" si="46"/>
        <v>33601282</v>
      </c>
      <c r="N736" t="s">
        <v>86</v>
      </c>
      <c r="O736" t="s">
        <v>87</v>
      </c>
      <c r="P736" t="s">
        <v>4</v>
      </c>
      <c r="Q736" t="str">
        <f t="shared" si="47"/>
        <v>Adult</v>
      </c>
    </row>
    <row r="737" spans="1:17" x14ac:dyDescent="0.3">
      <c r="A737" t="s">
        <v>433</v>
      </c>
      <c r="B737">
        <v>2024</v>
      </c>
      <c r="C737" s="5" t="s">
        <v>434</v>
      </c>
      <c r="D737" t="s">
        <v>354</v>
      </c>
      <c r="E737" s="4">
        <v>8.1999999999999993</v>
      </c>
      <c r="F737" t="str">
        <f t="shared" si="44"/>
        <v>Watch</v>
      </c>
      <c r="G737" t="str">
        <f t="shared" si="45"/>
        <v>Good</v>
      </c>
      <c r="H737" t="str" cm="1">
        <f t="array" ref="H737">_xlfn.IFS(E737&gt;8,"Best",E737=7,"Good",E737&gt;7,"Good",E737&lt;7,"Avg",E737&lt;6,"Below Avg")</f>
        <v>Best</v>
      </c>
      <c r="I737">
        <v>112</v>
      </c>
      <c r="K737" s="3">
        <v>491010090</v>
      </c>
      <c r="L737" s="3">
        <v>164354362</v>
      </c>
      <c r="M737" s="3">
        <f t="shared" si="46"/>
        <v>326655728</v>
      </c>
      <c r="N737" t="s">
        <v>435</v>
      </c>
      <c r="O737" t="s">
        <v>436</v>
      </c>
      <c r="P737" t="s">
        <v>403</v>
      </c>
      <c r="Q737" t="str">
        <f t="shared" si="47"/>
        <v>Kid</v>
      </c>
    </row>
    <row r="738" spans="1:17" x14ac:dyDescent="0.3">
      <c r="A738" t="s">
        <v>443</v>
      </c>
      <c r="B738">
        <v>2024</v>
      </c>
      <c r="C738" s="5" t="s">
        <v>434</v>
      </c>
      <c r="D738" t="s">
        <v>8</v>
      </c>
      <c r="E738" s="4">
        <v>7.1</v>
      </c>
      <c r="F738" t="str">
        <f t="shared" si="44"/>
        <v>Watch</v>
      </c>
      <c r="G738" t="str">
        <f t="shared" si="45"/>
        <v>Good</v>
      </c>
      <c r="H738" t="str" cm="1">
        <f t="array" ref="H738">_xlfn.IFS(E738&gt;8,"Best",E738=7,"Good",E738&gt;7,"Good",E738&lt;7,"Avg",E738&lt;6,"Below Avg")</f>
        <v>Good</v>
      </c>
      <c r="I738">
        <v>95</v>
      </c>
      <c r="K738" s="3">
        <v>36514815</v>
      </c>
      <c r="L738" s="3">
        <v>27343210</v>
      </c>
      <c r="M738" s="3">
        <f t="shared" si="46"/>
        <v>9171605</v>
      </c>
      <c r="O738" t="s">
        <v>444</v>
      </c>
      <c r="P738" t="s">
        <v>11</v>
      </c>
      <c r="Q738" t="str">
        <f t="shared" si="47"/>
        <v>Kid</v>
      </c>
    </row>
    <row r="739" spans="1:17" x14ac:dyDescent="0.3">
      <c r="A739" t="s">
        <v>454</v>
      </c>
      <c r="B739">
        <v>2024</v>
      </c>
      <c r="C739" s="5" t="s">
        <v>434</v>
      </c>
      <c r="D739" t="s">
        <v>61</v>
      </c>
      <c r="E739" s="4">
        <v>8.1999999999999993</v>
      </c>
      <c r="F739" t="str">
        <f t="shared" si="44"/>
        <v>Watch</v>
      </c>
      <c r="G739" t="str">
        <f t="shared" si="45"/>
        <v>Good</v>
      </c>
      <c r="H739" t="str" cm="1">
        <f t="array" ref="H739">_xlfn.IFS(E739&gt;8,"Best",E739=7,"Good",E739&gt;7,"Good",E739&lt;7,"Avg",E739&lt;6,"Below Avg")</f>
        <v>Best</v>
      </c>
      <c r="I739">
        <v>151</v>
      </c>
      <c r="K739" s="3">
        <v>29952138</v>
      </c>
      <c r="L739" s="3">
        <v>22968092</v>
      </c>
      <c r="M739" s="3">
        <f t="shared" si="46"/>
        <v>6984046</v>
      </c>
      <c r="N739" t="s">
        <v>455</v>
      </c>
      <c r="O739" t="s">
        <v>456</v>
      </c>
      <c r="P739" t="s">
        <v>11</v>
      </c>
      <c r="Q739" t="str">
        <f t="shared" si="47"/>
        <v>Kid</v>
      </c>
    </row>
    <row r="740" spans="1:17" x14ac:dyDescent="0.3">
      <c r="A740" t="s">
        <v>468</v>
      </c>
      <c r="B740">
        <v>2024</v>
      </c>
      <c r="C740" s="5" t="s">
        <v>434</v>
      </c>
      <c r="D740" t="s">
        <v>8</v>
      </c>
      <c r="E740" s="4">
        <v>7.3</v>
      </c>
      <c r="F740" t="str">
        <f t="shared" si="44"/>
        <v>Watch</v>
      </c>
      <c r="G740" t="str">
        <f t="shared" si="45"/>
        <v>Good</v>
      </c>
      <c r="H740" t="str" cm="1">
        <f t="array" ref="H740">_xlfn.IFS(E740&gt;8,"Best",E740=7,"Good",E740&gt;7,"Good",E740&lt;7,"Avg",E740&lt;6,"Below Avg")</f>
        <v>Good</v>
      </c>
      <c r="I740">
        <v>133</v>
      </c>
      <c r="K740" s="3">
        <v>32891844</v>
      </c>
      <c r="L740" s="3">
        <v>24927896</v>
      </c>
      <c r="M740" s="3">
        <f t="shared" si="46"/>
        <v>7963948</v>
      </c>
      <c r="N740" t="s">
        <v>469</v>
      </c>
      <c r="O740" t="s">
        <v>470</v>
      </c>
      <c r="P740" t="s">
        <v>11</v>
      </c>
      <c r="Q740" t="str">
        <f t="shared" si="47"/>
        <v>Kid</v>
      </c>
    </row>
    <row r="741" spans="1:17" x14ac:dyDescent="0.3">
      <c r="A741" t="s">
        <v>471</v>
      </c>
      <c r="B741">
        <v>2024</v>
      </c>
      <c r="C741" s="5" t="s">
        <v>434</v>
      </c>
      <c r="D741" t="s">
        <v>8</v>
      </c>
      <c r="E741" s="4">
        <v>7.2</v>
      </c>
      <c r="F741" t="str">
        <f t="shared" si="44"/>
        <v>Watch</v>
      </c>
      <c r="G741" t="str">
        <f t="shared" si="45"/>
        <v>Good</v>
      </c>
      <c r="H741" t="str" cm="1">
        <f t="array" ref="H741">_xlfn.IFS(E741&gt;8,"Best",E741=7,"Good",E741&gt;7,"Good",E741&lt;7,"Avg",E741&lt;6,"Below Avg")</f>
        <v>Good</v>
      </c>
      <c r="I741">
        <v>102</v>
      </c>
      <c r="K741" s="3">
        <v>31788621</v>
      </c>
      <c r="L741" s="3">
        <v>24192414</v>
      </c>
      <c r="M741" s="3">
        <f t="shared" si="46"/>
        <v>7596207</v>
      </c>
      <c r="O741" t="s">
        <v>472</v>
      </c>
      <c r="P741" t="s">
        <v>11</v>
      </c>
      <c r="Q741" t="str">
        <f t="shared" si="47"/>
        <v>Kid</v>
      </c>
    </row>
    <row r="742" spans="1:17" x14ac:dyDescent="0.3">
      <c r="A742" t="s">
        <v>473</v>
      </c>
      <c r="B742">
        <v>2024</v>
      </c>
      <c r="C742" s="5" t="s">
        <v>434</v>
      </c>
      <c r="D742" t="s">
        <v>27</v>
      </c>
      <c r="E742" s="4">
        <v>8.1999999999999993</v>
      </c>
      <c r="F742" t="str">
        <f t="shared" si="44"/>
        <v>Watch</v>
      </c>
      <c r="G742" t="str">
        <f t="shared" si="45"/>
        <v>Good</v>
      </c>
      <c r="H742" t="str" cm="1">
        <f t="array" ref="H742">_xlfn.IFS(E742&gt;8,"Best",E742=7,"Good",E742&gt;7,"Good",E742&lt;7,"Avg",E742&lt;6,"Below Avg")</f>
        <v>Best</v>
      </c>
      <c r="I742">
        <v>133</v>
      </c>
      <c r="K742" s="3">
        <v>27642369</v>
      </c>
      <c r="L742" s="3">
        <v>21428246</v>
      </c>
      <c r="M742" s="3">
        <f t="shared" si="46"/>
        <v>6214123</v>
      </c>
      <c r="N742" t="s">
        <v>474</v>
      </c>
      <c r="O742" t="s">
        <v>475</v>
      </c>
      <c r="P742" t="s">
        <v>11</v>
      </c>
      <c r="Q742" t="str">
        <f t="shared" si="47"/>
        <v>Kid</v>
      </c>
    </row>
    <row r="743" spans="1:17" x14ac:dyDescent="0.3">
      <c r="A743" t="s">
        <v>485</v>
      </c>
      <c r="B743">
        <v>2024</v>
      </c>
      <c r="C743" s="5" t="s">
        <v>434</v>
      </c>
      <c r="D743" t="s">
        <v>27</v>
      </c>
      <c r="E743" s="4">
        <v>7.4</v>
      </c>
      <c r="F743" t="str">
        <f t="shared" si="44"/>
        <v>Watch</v>
      </c>
      <c r="G743" t="str">
        <f t="shared" si="45"/>
        <v>Good</v>
      </c>
      <c r="H743" t="str" cm="1">
        <f t="array" ref="H743">_xlfn.IFS(E743&gt;8,"Best",E743=7,"Good",E743&gt;7,"Good",E743&lt;7,"Avg",E743&lt;6,"Below Avg")</f>
        <v>Good</v>
      </c>
      <c r="I743">
        <v>164</v>
      </c>
      <c r="K743" s="3">
        <v>28495617</v>
      </c>
      <c r="L743" s="3">
        <v>21997078</v>
      </c>
      <c r="M743" s="3">
        <f t="shared" si="46"/>
        <v>6498539</v>
      </c>
      <c r="N743" t="s">
        <v>486</v>
      </c>
      <c r="O743" t="s">
        <v>487</v>
      </c>
      <c r="P743" t="s">
        <v>11</v>
      </c>
      <c r="Q743" t="str">
        <f t="shared" si="47"/>
        <v>Kid</v>
      </c>
    </row>
    <row r="744" spans="1:17" x14ac:dyDescent="0.3">
      <c r="A744" t="s">
        <v>488</v>
      </c>
      <c r="B744">
        <v>2024</v>
      </c>
      <c r="C744" s="5" t="s">
        <v>434</v>
      </c>
      <c r="D744" t="s">
        <v>116</v>
      </c>
      <c r="E744" s="4">
        <v>8.8000000000000007</v>
      </c>
      <c r="F744" t="str">
        <f t="shared" si="44"/>
        <v>Watch</v>
      </c>
      <c r="G744" t="str">
        <f t="shared" si="45"/>
        <v>Best</v>
      </c>
      <c r="H744" t="str" cm="1">
        <f t="array" ref="H744">_xlfn.IFS(E744&gt;8,"Best",E744=7,"Good",E744&gt;7,"Good",E744&lt;7,"Avg",E744&lt;6,"Below Avg")</f>
        <v>Best</v>
      </c>
      <c r="I744">
        <v>154</v>
      </c>
      <c r="K744" s="3">
        <v>498009705</v>
      </c>
      <c r="L744" s="3">
        <v>166804369</v>
      </c>
      <c r="M744" s="3">
        <f t="shared" si="46"/>
        <v>331205336</v>
      </c>
      <c r="O744" t="s">
        <v>489</v>
      </c>
      <c r="P744" t="s">
        <v>11</v>
      </c>
      <c r="Q744" t="str">
        <f t="shared" si="47"/>
        <v>Kid</v>
      </c>
    </row>
    <row r="745" spans="1:17" x14ac:dyDescent="0.3">
      <c r="A745" t="s">
        <v>437</v>
      </c>
      <c r="B745">
        <v>2024</v>
      </c>
      <c r="C745" s="5" t="s">
        <v>434</v>
      </c>
      <c r="D745" t="s">
        <v>8</v>
      </c>
      <c r="E745" s="4">
        <v>7</v>
      </c>
      <c r="F745" t="str">
        <f t="shared" si="44"/>
        <v>Watch</v>
      </c>
      <c r="G745" t="str">
        <f t="shared" si="45"/>
        <v>Avg</v>
      </c>
      <c r="H745" t="str" cm="1">
        <f t="array" ref="H745">_xlfn.IFS(E745&gt;8,"Best",E745=7,"Good",E745&gt;7,"Good",E745&lt;7,"Avg",E745&lt;6,"Below Avg")</f>
        <v>Good</v>
      </c>
      <c r="I745">
        <v>91</v>
      </c>
      <c r="K745" s="3">
        <v>32001933</v>
      </c>
      <c r="L745" s="3">
        <v>24334622</v>
      </c>
      <c r="M745" s="3">
        <f t="shared" si="46"/>
        <v>7667311</v>
      </c>
      <c r="N745" t="s">
        <v>438</v>
      </c>
      <c r="O745" t="s">
        <v>439</v>
      </c>
      <c r="P745" t="s">
        <v>11</v>
      </c>
      <c r="Q745" t="str">
        <f t="shared" si="47"/>
        <v>Kid</v>
      </c>
    </row>
    <row r="746" spans="1:17" x14ac:dyDescent="0.3">
      <c r="A746" t="s">
        <v>440</v>
      </c>
      <c r="B746">
        <v>2024</v>
      </c>
      <c r="C746" s="5" t="s">
        <v>434</v>
      </c>
      <c r="D746" t="s">
        <v>8</v>
      </c>
      <c r="E746" s="4">
        <v>8</v>
      </c>
      <c r="F746" t="str">
        <f t="shared" si="44"/>
        <v>Watch</v>
      </c>
      <c r="G746" t="str">
        <f t="shared" si="45"/>
        <v>Good</v>
      </c>
      <c r="H746" t="str" cm="1">
        <f t="array" ref="H746">_xlfn.IFS(E746&gt;8,"Best",E746=7,"Good",E746&gt;7,"Good",E746&lt;7,"Avg",E746&lt;6,"Below Avg")</f>
        <v>Good</v>
      </c>
      <c r="I746">
        <v>146</v>
      </c>
      <c r="K746" s="3">
        <v>33685098</v>
      </c>
      <c r="L746" s="3">
        <v>25456732</v>
      </c>
      <c r="M746" s="3">
        <f t="shared" si="46"/>
        <v>8228366</v>
      </c>
      <c r="N746" t="s">
        <v>441</v>
      </c>
      <c r="O746" t="s">
        <v>442</v>
      </c>
      <c r="P746" t="s">
        <v>11</v>
      </c>
      <c r="Q746" t="str">
        <f t="shared" si="47"/>
        <v>Kid</v>
      </c>
    </row>
    <row r="747" spans="1:17" x14ac:dyDescent="0.3">
      <c r="A747" t="s">
        <v>445</v>
      </c>
      <c r="B747">
        <v>2024</v>
      </c>
      <c r="C747" s="5" t="s">
        <v>434</v>
      </c>
      <c r="D747" t="s">
        <v>8</v>
      </c>
      <c r="E747" s="4">
        <v>6.7</v>
      </c>
      <c r="F747" t="str">
        <f t="shared" si="44"/>
        <v>Watch</v>
      </c>
      <c r="G747" t="str">
        <f t="shared" si="45"/>
        <v>Avg</v>
      </c>
      <c r="H747" t="str" cm="1">
        <f t="array" ref="H747">_xlfn.IFS(E747&gt;8,"Best",E747=7,"Good",E747&gt;7,"Good",E747&lt;7,"Avg",E747&lt;6,"Below Avg")</f>
        <v>Avg</v>
      </c>
      <c r="I747">
        <v>121</v>
      </c>
      <c r="K747" s="3">
        <v>29352198</v>
      </c>
      <c r="L747" s="3">
        <v>22568132</v>
      </c>
      <c r="M747" s="3">
        <f t="shared" si="46"/>
        <v>6784066</v>
      </c>
      <c r="N747" t="s">
        <v>446</v>
      </c>
      <c r="O747" t="s">
        <v>447</v>
      </c>
      <c r="P747" t="s">
        <v>11</v>
      </c>
      <c r="Q747" t="str">
        <f t="shared" si="47"/>
        <v>Kid</v>
      </c>
    </row>
    <row r="748" spans="1:17" x14ac:dyDescent="0.3">
      <c r="A748" t="s">
        <v>448</v>
      </c>
      <c r="B748">
        <v>2024</v>
      </c>
      <c r="C748" s="5" t="s">
        <v>434</v>
      </c>
      <c r="D748" t="s">
        <v>35</v>
      </c>
      <c r="E748" s="4">
        <v>8.4</v>
      </c>
      <c r="F748" t="str">
        <f t="shared" si="44"/>
        <v>Watch</v>
      </c>
      <c r="G748" t="str">
        <f t="shared" si="45"/>
        <v>Good</v>
      </c>
      <c r="H748" t="str" cm="1">
        <f t="array" ref="H748">_xlfn.IFS(E748&gt;8,"Best",E748=7,"Good",E748&gt;7,"Good",E748&lt;7,"Avg",E748&lt;6,"Below Avg")</f>
        <v>Best</v>
      </c>
      <c r="I748">
        <v>108</v>
      </c>
      <c r="K748" s="3">
        <v>39307869</v>
      </c>
      <c r="L748" s="3">
        <v>29205246</v>
      </c>
      <c r="M748" s="3">
        <f t="shared" si="46"/>
        <v>10102623</v>
      </c>
      <c r="O748" t="s">
        <v>449</v>
      </c>
      <c r="P748" t="s">
        <v>11</v>
      </c>
      <c r="Q748" t="str">
        <f t="shared" si="47"/>
        <v>Kid</v>
      </c>
    </row>
    <row r="749" spans="1:17" x14ac:dyDescent="0.3">
      <c r="A749" t="s">
        <v>450</v>
      </c>
      <c r="B749">
        <v>2024</v>
      </c>
      <c r="C749" s="5" t="s">
        <v>434</v>
      </c>
      <c r="D749" t="s">
        <v>19</v>
      </c>
      <c r="E749" s="4">
        <v>8.5</v>
      </c>
      <c r="F749" t="str">
        <f t="shared" si="44"/>
        <v>Watch</v>
      </c>
      <c r="G749" t="str">
        <f t="shared" si="45"/>
        <v>Good</v>
      </c>
      <c r="H749" t="str" cm="1">
        <f t="array" ref="H749">_xlfn.IFS(E749&gt;8,"Best",E749=7,"Good",E749&gt;7,"Good",E749&lt;7,"Avg",E749&lt;6,"Below Avg")</f>
        <v>Best</v>
      </c>
      <c r="I749">
        <v>100</v>
      </c>
      <c r="K749" s="3">
        <v>28532280</v>
      </c>
      <c r="L749" s="3">
        <v>22021520</v>
      </c>
      <c r="M749" s="3">
        <f t="shared" si="46"/>
        <v>6510760</v>
      </c>
      <c r="O749" t="s">
        <v>396</v>
      </c>
      <c r="P749" t="s">
        <v>11</v>
      </c>
      <c r="Q749" t="str">
        <f t="shared" si="47"/>
        <v>Kid</v>
      </c>
    </row>
    <row r="750" spans="1:17" x14ac:dyDescent="0.3">
      <c r="A750" t="s">
        <v>451</v>
      </c>
      <c r="B750">
        <v>2024</v>
      </c>
      <c r="C750" s="5" t="s">
        <v>434</v>
      </c>
      <c r="D750" t="s">
        <v>27</v>
      </c>
      <c r="E750" s="4">
        <v>6.4</v>
      </c>
      <c r="F750" t="str">
        <f t="shared" si="44"/>
        <v>Don't Watch</v>
      </c>
      <c r="G750" t="str">
        <f t="shared" si="45"/>
        <v>Avg</v>
      </c>
      <c r="H750" t="str" cm="1">
        <f t="array" ref="H750">_xlfn.IFS(E750&gt;8,"Best",E750=7,"Good",E750&gt;7,"Good",E750&lt;7,"Avg",E750&lt;6,"Below Avg")</f>
        <v>Avg</v>
      </c>
      <c r="I750">
        <v>94</v>
      </c>
      <c r="K750" s="3">
        <v>34511682</v>
      </c>
      <c r="L750" s="3">
        <v>26007788</v>
      </c>
      <c r="M750" s="3">
        <f t="shared" si="46"/>
        <v>8503894</v>
      </c>
      <c r="N750" t="s">
        <v>452</v>
      </c>
      <c r="O750" t="s">
        <v>453</v>
      </c>
      <c r="P750" t="s">
        <v>11</v>
      </c>
      <c r="Q750" t="str">
        <f t="shared" si="47"/>
        <v>Kid</v>
      </c>
    </row>
    <row r="751" spans="1:17" x14ac:dyDescent="0.3">
      <c r="A751" t="s">
        <v>457</v>
      </c>
      <c r="B751">
        <v>2024</v>
      </c>
      <c r="C751" s="5" t="s">
        <v>434</v>
      </c>
      <c r="D751" t="s">
        <v>31</v>
      </c>
      <c r="E751" s="4">
        <v>8</v>
      </c>
      <c r="F751" t="str">
        <f t="shared" si="44"/>
        <v>Watch</v>
      </c>
      <c r="G751" t="str">
        <f t="shared" si="45"/>
        <v>Good</v>
      </c>
      <c r="H751" t="str" cm="1">
        <f t="array" ref="H751">_xlfn.IFS(E751&gt;8,"Best",E751=7,"Good",E751&gt;7,"Good",E751&lt;7,"Avg",E751&lt;6,"Below Avg")</f>
        <v>Good</v>
      </c>
      <c r="I751">
        <v>98</v>
      </c>
      <c r="K751" s="3">
        <v>27525714</v>
      </c>
      <c r="L751" s="3">
        <v>21350476</v>
      </c>
      <c r="M751" s="3">
        <f t="shared" si="46"/>
        <v>6175238</v>
      </c>
      <c r="O751" t="s">
        <v>458</v>
      </c>
      <c r="P751" t="s">
        <v>11</v>
      </c>
      <c r="Q751" t="str">
        <f t="shared" si="47"/>
        <v>Kid</v>
      </c>
    </row>
    <row r="752" spans="1:17" x14ac:dyDescent="0.3">
      <c r="A752" t="s">
        <v>459</v>
      </c>
      <c r="B752">
        <v>2024</v>
      </c>
      <c r="C752" s="5" t="s">
        <v>434</v>
      </c>
      <c r="D752" t="s">
        <v>148</v>
      </c>
      <c r="E752" s="4">
        <v>9.1</v>
      </c>
      <c r="F752" t="str">
        <f t="shared" si="44"/>
        <v>Watch</v>
      </c>
      <c r="G752" t="str">
        <f t="shared" si="45"/>
        <v>Best</v>
      </c>
      <c r="H752" t="str" cm="1">
        <f t="array" ref="H752">_xlfn.IFS(E752&gt;8,"Best",E752=7,"Good",E752&gt;7,"Good",E752&lt;7,"Avg",E752&lt;6,"Below Avg")</f>
        <v>Best</v>
      </c>
      <c r="I752">
        <v>154</v>
      </c>
      <c r="K752" s="3">
        <v>39104145</v>
      </c>
      <c r="L752" s="3">
        <v>11133126</v>
      </c>
      <c r="M752" s="3">
        <f t="shared" si="46"/>
        <v>27971019</v>
      </c>
      <c r="O752" t="s">
        <v>460</v>
      </c>
      <c r="P752" t="s">
        <v>4</v>
      </c>
      <c r="Q752" t="str">
        <f t="shared" si="47"/>
        <v>Adult</v>
      </c>
    </row>
    <row r="753" spans="1:17" x14ac:dyDescent="0.3">
      <c r="A753" t="s">
        <v>461</v>
      </c>
      <c r="B753">
        <v>2024</v>
      </c>
      <c r="C753" s="5" t="s">
        <v>434</v>
      </c>
      <c r="D753" t="s">
        <v>27</v>
      </c>
      <c r="E753" s="4">
        <v>7</v>
      </c>
      <c r="F753" t="str">
        <f t="shared" si="44"/>
        <v>Watch</v>
      </c>
      <c r="G753" t="str">
        <f t="shared" si="45"/>
        <v>Avg</v>
      </c>
      <c r="H753" t="str" cm="1">
        <f t="array" ref="H753">_xlfn.IFS(E753&gt;8,"Best",E753=7,"Good",E753&gt;7,"Good",E753&lt;7,"Avg",E753&lt;6,"Below Avg")</f>
        <v>Good</v>
      </c>
      <c r="I753">
        <v>115</v>
      </c>
      <c r="K753" s="3">
        <v>29582175</v>
      </c>
      <c r="L753" s="3">
        <v>22721450</v>
      </c>
      <c r="M753" s="3">
        <f t="shared" si="46"/>
        <v>6860725</v>
      </c>
      <c r="N753" t="s">
        <v>462</v>
      </c>
      <c r="O753" t="s">
        <v>396</v>
      </c>
      <c r="P753" t="s">
        <v>11</v>
      </c>
      <c r="Q753" t="str">
        <f t="shared" si="47"/>
        <v>Kid</v>
      </c>
    </row>
    <row r="754" spans="1:17" x14ac:dyDescent="0.3">
      <c r="A754" t="s">
        <v>463</v>
      </c>
      <c r="B754">
        <v>2024</v>
      </c>
      <c r="C754" s="5" t="s">
        <v>434</v>
      </c>
      <c r="D754" t="s">
        <v>35</v>
      </c>
      <c r="E754" s="4">
        <v>7.8</v>
      </c>
      <c r="F754" t="str">
        <f t="shared" si="44"/>
        <v>Watch</v>
      </c>
      <c r="G754" t="str">
        <f t="shared" si="45"/>
        <v>Good</v>
      </c>
      <c r="H754" t="str" cm="1">
        <f t="array" ref="H754">_xlfn.IFS(E754&gt;8,"Best",E754=7,"Good",E754&gt;7,"Good",E754&lt;7,"Avg",E754&lt;6,"Below Avg")</f>
        <v>Good</v>
      </c>
      <c r="I754">
        <v>123</v>
      </c>
      <c r="K754" s="3">
        <v>29608839</v>
      </c>
      <c r="L754" s="3">
        <v>22739226</v>
      </c>
      <c r="M754" s="3">
        <f t="shared" si="46"/>
        <v>6869613</v>
      </c>
      <c r="O754" t="s">
        <v>464</v>
      </c>
      <c r="P754" t="s">
        <v>11</v>
      </c>
      <c r="Q754" t="str">
        <f t="shared" si="47"/>
        <v>Kid</v>
      </c>
    </row>
    <row r="755" spans="1:17" x14ac:dyDescent="0.3">
      <c r="A755" t="s">
        <v>465</v>
      </c>
      <c r="B755">
        <v>2024</v>
      </c>
      <c r="C755" s="5" t="s">
        <v>434</v>
      </c>
      <c r="D755" t="s">
        <v>8</v>
      </c>
      <c r="E755" s="4">
        <v>6.8</v>
      </c>
      <c r="F755" t="str">
        <f t="shared" si="44"/>
        <v>Watch</v>
      </c>
      <c r="G755" t="str">
        <f t="shared" si="45"/>
        <v>Avg</v>
      </c>
      <c r="H755" t="str" cm="1">
        <f t="array" ref="H755">_xlfn.IFS(E755&gt;8,"Best",E755=7,"Good",E755&gt;7,"Good",E755&lt;7,"Avg",E755&lt;6,"Below Avg")</f>
        <v>Avg</v>
      </c>
      <c r="I755">
        <v>101</v>
      </c>
      <c r="K755" s="3">
        <v>30785388</v>
      </c>
      <c r="L755" s="3">
        <v>23523592</v>
      </c>
      <c r="M755" s="3">
        <f t="shared" si="46"/>
        <v>7261796</v>
      </c>
      <c r="N755" t="s">
        <v>466</v>
      </c>
      <c r="O755" t="s">
        <v>467</v>
      </c>
      <c r="P755" t="s">
        <v>11</v>
      </c>
      <c r="Q755" t="str">
        <f t="shared" si="47"/>
        <v>Kid</v>
      </c>
    </row>
    <row r="756" spans="1:17" x14ac:dyDescent="0.3">
      <c r="A756" t="s">
        <v>476</v>
      </c>
      <c r="B756">
        <v>2024</v>
      </c>
      <c r="C756" s="5" t="s">
        <v>434</v>
      </c>
      <c r="D756" t="s">
        <v>8</v>
      </c>
      <c r="E756" s="4">
        <v>6.5</v>
      </c>
      <c r="F756" t="str">
        <f t="shared" si="44"/>
        <v>Don't Watch</v>
      </c>
      <c r="G756" t="str">
        <f t="shared" si="45"/>
        <v>Avg</v>
      </c>
      <c r="H756" t="str" cm="1">
        <f t="array" ref="H756">_xlfn.IFS(E756&gt;8,"Best",E756=7,"Good",E756&gt;7,"Good",E756&lt;7,"Avg",E756&lt;6,"Below Avg")</f>
        <v>Avg</v>
      </c>
      <c r="I756">
        <v>158</v>
      </c>
      <c r="K756" s="3">
        <v>27475719</v>
      </c>
      <c r="L756" s="3">
        <v>21317146</v>
      </c>
      <c r="M756" s="3">
        <f t="shared" si="46"/>
        <v>6158573</v>
      </c>
      <c r="N756" t="s">
        <v>477</v>
      </c>
      <c r="O756" t="s">
        <v>59</v>
      </c>
      <c r="P756" t="s">
        <v>11</v>
      </c>
      <c r="Q756" t="str">
        <f t="shared" si="47"/>
        <v>Kid</v>
      </c>
    </row>
    <row r="757" spans="1:17" x14ac:dyDescent="0.3">
      <c r="A757" t="s">
        <v>478</v>
      </c>
      <c r="B757">
        <v>2024</v>
      </c>
      <c r="C757" s="5" t="s">
        <v>434</v>
      </c>
      <c r="D757" t="s">
        <v>39</v>
      </c>
      <c r="E757" s="4">
        <v>7.5</v>
      </c>
      <c r="F757" t="str">
        <f t="shared" si="44"/>
        <v>Watch</v>
      </c>
      <c r="G757" t="str">
        <f t="shared" si="45"/>
        <v>Good</v>
      </c>
      <c r="H757" t="str" cm="1">
        <f t="array" ref="H757">_xlfn.IFS(E757&gt;8,"Best",E757=7,"Good",E757&gt;7,"Good",E757&lt;7,"Avg",E757&lt;6,"Below Avg")</f>
        <v>Good</v>
      </c>
      <c r="I757">
        <v>129</v>
      </c>
      <c r="K757" s="3">
        <v>29378862</v>
      </c>
      <c r="L757" s="3">
        <v>22585908</v>
      </c>
      <c r="M757" s="3">
        <f t="shared" si="46"/>
        <v>6792954</v>
      </c>
      <c r="N757" t="s">
        <v>479</v>
      </c>
      <c r="O757" t="s">
        <v>396</v>
      </c>
      <c r="P757" t="s">
        <v>11</v>
      </c>
      <c r="Q757" t="str">
        <f t="shared" si="47"/>
        <v>Kid</v>
      </c>
    </row>
    <row r="758" spans="1:17" x14ac:dyDescent="0.3">
      <c r="A758" t="s">
        <v>480</v>
      </c>
      <c r="B758">
        <v>2024</v>
      </c>
      <c r="C758" s="5" t="s">
        <v>434</v>
      </c>
      <c r="D758" t="s">
        <v>39</v>
      </c>
      <c r="E758" s="4">
        <v>7.7</v>
      </c>
      <c r="F758" t="str">
        <f t="shared" si="44"/>
        <v>Watch</v>
      </c>
      <c r="G758" t="str">
        <f t="shared" si="45"/>
        <v>Good</v>
      </c>
      <c r="H758" t="str" cm="1">
        <f t="array" ref="H758">_xlfn.IFS(E758&gt;8,"Best",E758=7,"Good",E758&gt;7,"Good",E758&lt;7,"Avg",E758&lt;6,"Below Avg")</f>
        <v>Good</v>
      </c>
      <c r="I758">
        <v>95</v>
      </c>
      <c r="K758" s="3">
        <v>27515715</v>
      </c>
      <c r="L758" s="3">
        <v>21343810</v>
      </c>
      <c r="M758" s="3">
        <f t="shared" si="46"/>
        <v>6171905</v>
      </c>
      <c r="N758" t="s">
        <v>481</v>
      </c>
      <c r="O758" t="s">
        <v>396</v>
      </c>
      <c r="P758" t="s">
        <v>11</v>
      </c>
      <c r="Q758" t="str">
        <f t="shared" si="47"/>
        <v>Kid</v>
      </c>
    </row>
    <row r="759" spans="1:17" x14ac:dyDescent="0.3">
      <c r="A759" t="s">
        <v>482</v>
      </c>
      <c r="B759">
        <v>2024</v>
      </c>
      <c r="C759" s="5" t="s">
        <v>434</v>
      </c>
      <c r="D759" t="s">
        <v>8</v>
      </c>
      <c r="E759" s="4">
        <v>8.4</v>
      </c>
      <c r="F759" t="str">
        <f t="shared" si="44"/>
        <v>Watch</v>
      </c>
      <c r="G759" t="str">
        <f t="shared" si="45"/>
        <v>Good</v>
      </c>
      <c r="H759" t="str" cm="1">
        <f t="array" ref="H759">_xlfn.IFS(E759&gt;8,"Best",E759=7,"Good",E759&gt;7,"Good",E759&lt;7,"Avg",E759&lt;6,"Below Avg")</f>
        <v>Best</v>
      </c>
      <c r="I759">
        <v>96</v>
      </c>
      <c r="K759" s="3">
        <v>26769123</v>
      </c>
      <c r="L759" s="3">
        <v>20846082</v>
      </c>
      <c r="M759" s="3">
        <f t="shared" si="46"/>
        <v>5923041</v>
      </c>
      <c r="N759" t="s">
        <v>483</v>
      </c>
      <c r="O759" t="s">
        <v>484</v>
      </c>
      <c r="P759" t="s">
        <v>11</v>
      </c>
      <c r="Q759" t="str">
        <f t="shared" si="47"/>
        <v>Kid</v>
      </c>
    </row>
    <row r="760" spans="1:17" x14ac:dyDescent="0.3">
      <c r="A760" t="s">
        <v>490</v>
      </c>
      <c r="B760">
        <v>2024</v>
      </c>
      <c r="C760" s="5" t="s">
        <v>434</v>
      </c>
      <c r="D760" t="s">
        <v>39</v>
      </c>
      <c r="E760" s="4">
        <v>8.5</v>
      </c>
      <c r="F760" t="str">
        <f t="shared" si="44"/>
        <v>Watch</v>
      </c>
      <c r="G760" t="str">
        <f t="shared" si="45"/>
        <v>Good</v>
      </c>
      <c r="H760" t="str" cm="1">
        <f t="array" ref="H760">_xlfn.IFS(E760&gt;8,"Best",E760=7,"Good",E760&gt;7,"Good",E760&lt;7,"Avg",E760&lt;6,"Below Avg")</f>
        <v>Best</v>
      </c>
      <c r="I760">
        <v>112</v>
      </c>
      <c r="K760" s="3">
        <v>30072126</v>
      </c>
      <c r="L760" s="3">
        <v>23048084</v>
      </c>
      <c r="M760" s="3">
        <f t="shared" si="46"/>
        <v>7024042</v>
      </c>
      <c r="O760" t="s">
        <v>491</v>
      </c>
      <c r="P760" t="s">
        <v>11</v>
      </c>
      <c r="Q760" t="str">
        <f t="shared" si="47"/>
        <v>Kid</v>
      </c>
    </row>
    <row r="761" spans="1:17" x14ac:dyDescent="0.3">
      <c r="A761" t="s">
        <v>492</v>
      </c>
      <c r="B761">
        <v>2024</v>
      </c>
      <c r="C761" s="5" t="s">
        <v>434</v>
      </c>
      <c r="D761" t="s">
        <v>8</v>
      </c>
      <c r="E761" s="4">
        <v>7.4</v>
      </c>
      <c r="F761" t="str">
        <f t="shared" si="44"/>
        <v>Watch</v>
      </c>
      <c r="G761" t="str">
        <f t="shared" si="45"/>
        <v>Good</v>
      </c>
      <c r="H761" t="str" cm="1">
        <f t="array" ref="H761">_xlfn.IFS(E761&gt;8,"Best",E761=7,"Good",E761&gt;7,"Good",E761&lt;7,"Avg",E761&lt;6,"Below Avg")</f>
        <v>Good</v>
      </c>
      <c r="I761">
        <v>92</v>
      </c>
      <c r="K761" s="3">
        <v>30255441</v>
      </c>
      <c r="L761" s="3">
        <v>23170294</v>
      </c>
      <c r="M761" s="3">
        <f t="shared" si="46"/>
        <v>7085147</v>
      </c>
      <c r="N761" t="s">
        <v>493</v>
      </c>
      <c r="O761" t="s">
        <v>494</v>
      </c>
      <c r="P761" t="s">
        <v>11</v>
      </c>
      <c r="Q761" t="str">
        <f t="shared" si="47"/>
        <v>Kid</v>
      </c>
    </row>
    <row r="762" spans="1:17" x14ac:dyDescent="0.3">
      <c r="A762" t="s">
        <v>495</v>
      </c>
      <c r="B762">
        <v>2024</v>
      </c>
      <c r="C762" s="5" t="s">
        <v>434</v>
      </c>
      <c r="D762" t="s">
        <v>49</v>
      </c>
      <c r="E762" s="4">
        <v>8.3000000000000007</v>
      </c>
      <c r="F762" t="str">
        <f t="shared" si="44"/>
        <v>Watch</v>
      </c>
      <c r="G762" t="str">
        <f t="shared" si="45"/>
        <v>Good</v>
      </c>
      <c r="H762" t="str" cm="1">
        <f t="array" ref="H762">_xlfn.IFS(E762&gt;8,"Best",E762=7,"Good",E762&gt;7,"Good",E762&lt;7,"Avg",E762&lt;6,"Below Avg")</f>
        <v>Best</v>
      </c>
      <c r="I762">
        <v>125</v>
      </c>
      <c r="K762" s="3">
        <v>30615405</v>
      </c>
      <c r="L762" s="3">
        <v>23410270</v>
      </c>
      <c r="M762" s="3">
        <f t="shared" si="46"/>
        <v>7205135</v>
      </c>
      <c r="N762" t="s">
        <v>496</v>
      </c>
      <c r="O762" t="s">
        <v>497</v>
      </c>
      <c r="P762" t="s">
        <v>11</v>
      </c>
      <c r="Q762" t="str">
        <f t="shared" si="47"/>
        <v>Kid</v>
      </c>
    </row>
    <row r="763" spans="1:17" x14ac:dyDescent="0.3">
      <c r="A763" t="s">
        <v>386</v>
      </c>
      <c r="B763">
        <v>2024</v>
      </c>
      <c r="C763" s="5" t="s">
        <v>387</v>
      </c>
      <c r="D763" t="s">
        <v>8</v>
      </c>
      <c r="E763" s="4">
        <v>6.6</v>
      </c>
      <c r="F763" t="str">
        <f t="shared" si="44"/>
        <v>Watch</v>
      </c>
      <c r="G763" t="str">
        <f t="shared" si="45"/>
        <v>Avg</v>
      </c>
      <c r="H763" t="str" cm="1">
        <f t="array" ref="H763">_xlfn.IFS(E763&gt;8,"Best",E763=7,"Good",E763&gt;7,"Good",E763&lt;7,"Avg",E763&lt;6,"Below Avg")</f>
        <v>Avg</v>
      </c>
      <c r="I763">
        <v>159</v>
      </c>
      <c r="K763" s="3">
        <v>27479052</v>
      </c>
      <c r="L763" s="3">
        <v>21319368</v>
      </c>
      <c r="M763" s="3">
        <f t="shared" si="46"/>
        <v>6159684</v>
      </c>
      <c r="O763" t="s">
        <v>336</v>
      </c>
      <c r="P763" t="s">
        <v>11</v>
      </c>
      <c r="Q763" t="str">
        <f t="shared" si="47"/>
        <v>Kid</v>
      </c>
    </row>
    <row r="764" spans="1:17" x14ac:dyDescent="0.3">
      <c r="A764" t="s">
        <v>388</v>
      </c>
      <c r="B764">
        <v>2024</v>
      </c>
      <c r="C764" s="5" t="s">
        <v>387</v>
      </c>
      <c r="D764" t="s">
        <v>27</v>
      </c>
      <c r="E764" s="4">
        <v>7.1</v>
      </c>
      <c r="F764" t="str">
        <f t="shared" si="44"/>
        <v>Watch</v>
      </c>
      <c r="G764" t="str">
        <f t="shared" si="45"/>
        <v>Good</v>
      </c>
      <c r="H764" t="str" cm="1">
        <f t="array" ref="H764">_xlfn.IFS(E764&gt;8,"Best",E764=7,"Good",E764&gt;7,"Good",E764&lt;7,"Avg",E764&lt;6,"Below Avg")</f>
        <v>Good</v>
      </c>
      <c r="I764">
        <v>92</v>
      </c>
      <c r="K764" s="3">
        <v>26505816</v>
      </c>
      <c r="L764" s="3">
        <v>20670544</v>
      </c>
      <c r="M764" s="3">
        <f t="shared" si="46"/>
        <v>5835272</v>
      </c>
      <c r="N764" t="s">
        <v>389</v>
      </c>
      <c r="O764" t="s">
        <v>390</v>
      </c>
      <c r="P764" t="s">
        <v>11</v>
      </c>
      <c r="Q764" t="str">
        <f t="shared" si="47"/>
        <v>Kid</v>
      </c>
    </row>
    <row r="765" spans="1:17" x14ac:dyDescent="0.3">
      <c r="A765" t="s">
        <v>391</v>
      </c>
      <c r="B765">
        <v>2024</v>
      </c>
      <c r="C765" s="5" t="s">
        <v>387</v>
      </c>
      <c r="D765" t="s">
        <v>35</v>
      </c>
      <c r="E765" s="4">
        <v>7.1</v>
      </c>
      <c r="F765" t="str">
        <f t="shared" si="44"/>
        <v>Watch</v>
      </c>
      <c r="G765" t="str">
        <f t="shared" si="45"/>
        <v>Good</v>
      </c>
      <c r="H765" t="str" cm="1">
        <f t="array" ref="H765">_xlfn.IFS(E765&gt;8,"Best",E765=7,"Good",E765&gt;7,"Good",E765&lt;7,"Avg",E765&lt;6,"Below Avg")</f>
        <v>Good</v>
      </c>
      <c r="I765">
        <v>113</v>
      </c>
      <c r="K765" s="3">
        <v>30575409</v>
      </c>
      <c r="L765" s="3">
        <v>23383606</v>
      </c>
      <c r="M765" s="3">
        <f t="shared" si="46"/>
        <v>7191803</v>
      </c>
      <c r="N765" t="s">
        <v>392</v>
      </c>
      <c r="O765" t="s">
        <v>393</v>
      </c>
      <c r="P765" t="s">
        <v>11</v>
      </c>
      <c r="Q765" t="str">
        <f t="shared" si="47"/>
        <v>Kid</v>
      </c>
    </row>
    <row r="766" spans="1:17" x14ac:dyDescent="0.3">
      <c r="A766" t="s">
        <v>400</v>
      </c>
      <c r="B766">
        <v>2024</v>
      </c>
      <c r="C766" s="5" t="s">
        <v>387</v>
      </c>
      <c r="D766" t="s">
        <v>93</v>
      </c>
      <c r="E766" s="4">
        <v>7.8</v>
      </c>
      <c r="F766" t="str">
        <f t="shared" si="44"/>
        <v>Watch</v>
      </c>
      <c r="G766" t="str">
        <f t="shared" si="45"/>
        <v>Good</v>
      </c>
      <c r="H766" t="str" cm="1">
        <f t="array" ref="H766">_xlfn.IFS(E766&gt;8,"Best",E766=7,"Good",E766&gt;7,"Good",E766&lt;7,"Avg",E766&lt;6,"Below Avg")</f>
        <v>Good</v>
      </c>
      <c r="I766">
        <v>144</v>
      </c>
      <c r="K766" s="3">
        <v>487701630</v>
      </c>
      <c r="L766" s="3">
        <v>163196334</v>
      </c>
      <c r="M766" s="3">
        <f t="shared" si="46"/>
        <v>324505296</v>
      </c>
      <c r="N766" t="s">
        <v>401</v>
      </c>
      <c r="O766" t="s">
        <v>402</v>
      </c>
      <c r="P766" t="s">
        <v>403</v>
      </c>
      <c r="Q766" t="str">
        <f t="shared" si="47"/>
        <v>Kid</v>
      </c>
    </row>
    <row r="767" spans="1:17" x14ac:dyDescent="0.3">
      <c r="A767" t="s">
        <v>421</v>
      </c>
      <c r="B767">
        <v>2024</v>
      </c>
      <c r="C767" s="5" t="s">
        <v>387</v>
      </c>
      <c r="D767" t="s">
        <v>27</v>
      </c>
      <c r="E767" s="4">
        <v>7.9</v>
      </c>
      <c r="F767" t="str">
        <f t="shared" si="44"/>
        <v>Watch</v>
      </c>
      <c r="G767" t="str">
        <f t="shared" si="45"/>
        <v>Good</v>
      </c>
      <c r="H767" t="str" cm="1">
        <f t="array" ref="H767">_xlfn.IFS(E767&gt;8,"Best",E767=7,"Good",E767&gt;7,"Good",E767&lt;7,"Avg",E767&lt;6,"Below Avg")</f>
        <v>Good</v>
      </c>
      <c r="I767">
        <v>121</v>
      </c>
      <c r="K767" s="3">
        <v>27852348</v>
      </c>
      <c r="L767" s="3">
        <v>21568232</v>
      </c>
      <c r="M767" s="3">
        <f t="shared" si="46"/>
        <v>6284116</v>
      </c>
      <c r="N767" t="s">
        <v>422</v>
      </c>
      <c r="O767" t="s">
        <v>423</v>
      </c>
      <c r="P767" t="s">
        <v>11</v>
      </c>
      <c r="Q767" t="str">
        <f t="shared" si="47"/>
        <v>Kid</v>
      </c>
    </row>
    <row r="768" spans="1:17" x14ac:dyDescent="0.3">
      <c r="A768" t="s">
        <v>394</v>
      </c>
      <c r="B768">
        <v>2024</v>
      </c>
      <c r="C768" s="5" t="s">
        <v>387</v>
      </c>
      <c r="D768" t="s">
        <v>8</v>
      </c>
      <c r="E768" s="4">
        <v>7.4</v>
      </c>
      <c r="F768" t="str">
        <f t="shared" si="44"/>
        <v>Watch</v>
      </c>
      <c r="G768" t="str">
        <f t="shared" si="45"/>
        <v>Good</v>
      </c>
      <c r="H768" t="str" cm="1">
        <f t="array" ref="H768">_xlfn.IFS(E768&gt;8,"Best",E768=7,"Good",E768&gt;7,"Good",E768&lt;7,"Avg",E768&lt;6,"Below Avg")</f>
        <v>Good</v>
      </c>
      <c r="I768">
        <v>146</v>
      </c>
      <c r="K768" s="3">
        <v>28935573</v>
      </c>
      <c r="L768" s="3">
        <v>22290382</v>
      </c>
      <c r="M768" s="3">
        <f t="shared" si="46"/>
        <v>6645191</v>
      </c>
      <c r="N768" t="s">
        <v>395</v>
      </c>
      <c r="O768" t="s">
        <v>396</v>
      </c>
      <c r="P768" t="s">
        <v>11</v>
      </c>
      <c r="Q768" t="str">
        <f t="shared" si="47"/>
        <v>Kid</v>
      </c>
    </row>
    <row r="769" spans="1:17" x14ac:dyDescent="0.3">
      <c r="A769" t="s">
        <v>397</v>
      </c>
      <c r="B769">
        <v>2024</v>
      </c>
      <c r="C769" s="5" t="s">
        <v>387</v>
      </c>
      <c r="D769" t="s">
        <v>8</v>
      </c>
      <c r="E769" s="4">
        <v>7.6</v>
      </c>
      <c r="F769" t="str">
        <f t="shared" si="44"/>
        <v>Watch</v>
      </c>
      <c r="G769" t="str">
        <f t="shared" si="45"/>
        <v>Good</v>
      </c>
      <c r="H769" t="str" cm="1">
        <f t="array" ref="H769">_xlfn.IFS(E769&gt;8,"Best",E769=7,"Good",E769&gt;7,"Good",E769&lt;7,"Avg",E769&lt;6,"Below Avg")</f>
        <v>Good</v>
      </c>
      <c r="I769">
        <v>100</v>
      </c>
      <c r="K769" s="3">
        <v>28282305</v>
      </c>
      <c r="L769" s="3">
        <v>21854870</v>
      </c>
      <c r="M769" s="3">
        <f t="shared" si="46"/>
        <v>6427435</v>
      </c>
      <c r="N769" t="s">
        <v>398</v>
      </c>
      <c r="O769" t="s">
        <v>399</v>
      </c>
      <c r="P769" t="s">
        <v>11</v>
      </c>
      <c r="Q769" t="str">
        <f t="shared" si="47"/>
        <v>Kid</v>
      </c>
    </row>
    <row r="770" spans="1:17" x14ac:dyDescent="0.3">
      <c r="A770" t="s">
        <v>404</v>
      </c>
      <c r="B770">
        <v>2024</v>
      </c>
      <c r="C770" s="5" t="s">
        <v>387</v>
      </c>
      <c r="D770" t="s">
        <v>93</v>
      </c>
      <c r="E770" s="4">
        <v>6.6</v>
      </c>
      <c r="F770" t="str">
        <f t="shared" ref="F770:F833" si="48">IF(E770&gt;6.5,"Watch","Don't Watch")</f>
        <v>Watch</v>
      </c>
      <c r="G770" t="str">
        <f t="shared" ref="G770:G833" si="49">IF(E770&gt;8.5,"Best",IF(E770&gt;7,"Good",IF(E770&gt;5,"Avg",IF(E770&lt;5,"Below Avg",IF(E770&lt;3,"Bad",)))))</f>
        <v>Avg</v>
      </c>
      <c r="H770" t="str" cm="1">
        <f t="array" ref="H770">_xlfn.IFS(E770&gt;8,"Best",E770=7,"Good",E770&gt;7,"Good",E770&lt;7,"Avg",E770&lt;6,"Below Avg")</f>
        <v>Avg</v>
      </c>
      <c r="I770">
        <v>135</v>
      </c>
      <c r="K770" s="3">
        <v>29898810</v>
      </c>
      <c r="L770" s="3">
        <v>22932540</v>
      </c>
      <c r="M770" s="3">
        <f t="shared" ref="M770:M833" si="50" xml:space="preserve"> (K770-L770)</f>
        <v>6966270</v>
      </c>
      <c r="O770" t="s">
        <v>405</v>
      </c>
      <c r="P770" t="s">
        <v>11</v>
      </c>
      <c r="Q770" t="str">
        <f t="shared" ref="Q770:Q833" si="51">IF(P770="R","Adult","Kid")</f>
        <v>Kid</v>
      </c>
    </row>
    <row r="771" spans="1:17" x14ac:dyDescent="0.3">
      <c r="A771" t="s">
        <v>406</v>
      </c>
      <c r="B771">
        <v>2024</v>
      </c>
      <c r="C771" s="5" t="s">
        <v>387</v>
      </c>
      <c r="D771" t="s">
        <v>85</v>
      </c>
      <c r="E771" s="4">
        <v>7.3</v>
      </c>
      <c r="F771" t="str">
        <f t="shared" si="48"/>
        <v>Watch</v>
      </c>
      <c r="G771" t="str">
        <f t="shared" si="49"/>
        <v>Good</v>
      </c>
      <c r="H771" t="str" cm="1">
        <f t="array" ref="H771">_xlfn.IFS(E771&gt;8,"Best",E771=7,"Good",E771&gt;7,"Good",E771&lt;7,"Avg",E771&lt;6,"Below Avg")</f>
        <v>Good</v>
      </c>
      <c r="I771">
        <v>97</v>
      </c>
      <c r="K771" s="3">
        <v>42120510</v>
      </c>
      <c r="L771" s="3">
        <v>11803188</v>
      </c>
      <c r="M771" s="3">
        <f t="shared" si="50"/>
        <v>30317322</v>
      </c>
      <c r="N771" t="s">
        <v>407</v>
      </c>
      <c r="O771" t="s">
        <v>408</v>
      </c>
      <c r="P771" t="s">
        <v>4</v>
      </c>
      <c r="Q771" t="str">
        <f t="shared" si="51"/>
        <v>Adult</v>
      </c>
    </row>
    <row r="772" spans="1:17" x14ac:dyDescent="0.3">
      <c r="A772" t="s">
        <v>409</v>
      </c>
      <c r="B772">
        <v>2024</v>
      </c>
      <c r="C772" s="5" t="s">
        <v>387</v>
      </c>
      <c r="D772" t="s">
        <v>2</v>
      </c>
      <c r="E772" s="4">
        <v>6.8</v>
      </c>
      <c r="F772" t="str">
        <f t="shared" si="48"/>
        <v>Watch</v>
      </c>
      <c r="G772" t="str">
        <f t="shared" si="49"/>
        <v>Avg</v>
      </c>
      <c r="H772" t="str" cm="1">
        <f t="array" ref="H772">_xlfn.IFS(E772&gt;8,"Best",E772=7,"Good",E772&gt;7,"Good",E772&lt;7,"Avg",E772&lt;6,"Below Avg")</f>
        <v>Avg</v>
      </c>
      <c r="I772">
        <v>92</v>
      </c>
      <c r="K772" s="3">
        <v>42092735</v>
      </c>
      <c r="L772" s="3">
        <v>11797018</v>
      </c>
      <c r="M772" s="3">
        <f t="shared" si="50"/>
        <v>30295717</v>
      </c>
      <c r="N772" t="s">
        <v>410</v>
      </c>
      <c r="O772" t="s">
        <v>411</v>
      </c>
      <c r="P772" t="s">
        <v>4</v>
      </c>
      <c r="Q772" t="str">
        <f t="shared" si="51"/>
        <v>Adult</v>
      </c>
    </row>
    <row r="773" spans="1:17" x14ac:dyDescent="0.3">
      <c r="A773" t="s">
        <v>412</v>
      </c>
      <c r="B773">
        <v>2024</v>
      </c>
      <c r="C773" s="5" t="s">
        <v>387</v>
      </c>
      <c r="D773" t="s">
        <v>8</v>
      </c>
      <c r="E773" s="4">
        <v>6.3</v>
      </c>
      <c r="F773" t="str">
        <f t="shared" si="48"/>
        <v>Don't Watch</v>
      </c>
      <c r="G773" t="str">
        <f t="shared" si="49"/>
        <v>Avg</v>
      </c>
      <c r="H773" t="str" cm="1">
        <f t="array" ref="H773">_xlfn.IFS(E773&gt;8,"Best",E773=7,"Good",E773&gt;7,"Good",E773&lt;7,"Avg",E773&lt;6,"Below Avg")</f>
        <v>Avg</v>
      </c>
      <c r="I773">
        <v>102</v>
      </c>
      <c r="K773" s="3">
        <v>26039196</v>
      </c>
      <c r="L773" s="3">
        <v>20359464</v>
      </c>
      <c r="M773" s="3">
        <f t="shared" si="50"/>
        <v>5679732</v>
      </c>
      <c r="O773" t="s">
        <v>413</v>
      </c>
      <c r="P773" t="s">
        <v>11</v>
      </c>
      <c r="Q773" t="str">
        <f t="shared" si="51"/>
        <v>Kid</v>
      </c>
    </row>
    <row r="774" spans="1:17" x14ac:dyDescent="0.3">
      <c r="A774" t="s">
        <v>414</v>
      </c>
      <c r="B774">
        <v>2024</v>
      </c>
      <c r="C774" s="5" t="s">
        <v>387</v>
      </c>
      <c r="D774" t="s">
        <v>23</v>
      </c>
      <c r="E774" s="4">
        <v>6.7</v>
      </c>
      <c r="F774" t="str">
        <f t="shared" si="48"/>
        <v>Watch</v>
      </c>
      <c r="G774" t="str">
        <f t="shared" si="49"/>
        <v>Avg</v>
      </c>
      <c r="H774" t="str" cm="1">
        <f t="array" ref="H774">_xlfn.IFS(E774&gt;8,"Best",E774=7,"Good",E774&gt;7,"Good",E774&lt;7,"Avg",E774&lt;6,"Below Avg")</f>
        <v>Avg</v>
      </c>
      <c r="I774">
        <v>127</v>
      </c>
      <c r="K774" s="3">
        <v>30122121</v>
      </c>
      <c r="L774" s="3">
        <v>23081414</v>
      </c>
      <c r="M774" s="3">
        <f t="shared" si="50"/>
        <v>7040707</v>
      </c>
      <c r="O774" t="s">
        <v>415</v>
      </c>
      <c r="P774" t="s">
        <v>11</v>
      </c>
      <c r="Q774" t="str">
        <f t="shared" si="51"/>
        <v>Kid</v>
      </c>
    </row>
    <row r="775" spans="1:17" x14ac:dyDescent="0.3">
      <c r="A775" t="s">
        <v>416</v>
      </c>
      <c r="B775">
        <v>2024</v>
      </c>
      <c r="C775" s="5" t="s">
        <v>387</v>
      </c>
      <c r="D775" t="s">
        <v>27</v>
      </c>
      <c r="E775" s="4">
        <v>6.8</v>
      </c>
      <c r="F775" t="str">
        <f t="shared" si="48"/>
        <v>Watch</v>
      </c>
      <c r="G775" t="str">
        <f t="shared" si="49"/>
        <v>Avg</v>
      </c>
      <c r="H775" t="str" cm="1">
        <f t="array" ref="H775">_xlfn.IFS(E775&gt;8,"Best",E775=7,"Good",E775&gt;7,"Good",E775&lt;7,"Avg",E775&lt;6,"Below Avg")</f>
        <v>Avg</v>
      </c>
      <c r="I775">
        <v>146</v>
      </c>
      <c r="K775" s="3">
        <v>29685498</v>
      </c>
      <c r="L775" s="3">
        <v>22790332</v>
      </c>
      <c r="M775" s="3">
        <f t="shared" si="50"/>
        <v>6895166</v>
      </c>
      <c r="N775" t="s">
        <v>417</v>
      </c>
      <c r="O775" t="s">
        <v>418</v>
      </c>
      <c r="P775" t="s">
        <v>11</v>
      </c>
      <c r="Q775" t="str">
        <f t="shared" si="51"/>
        <v>Kid</v>
      </c>
    </row>
    <row r="776" spans="1:17" x14ac:dyDescent="0.3">
      <c r="A776" t="s">
        <v>419</v>
      </c>
      <c r="B776">
        <v>2024</v>
      </c>
      <c r="C776" s="5" t="s">
        <v>387</v>
      </c>
      <c r="D776" t="s">
        <v>27</v>
      </c>
      <c r="E776" s="4">
        <v>9.1999999999999993</v>
      </c>
      <c r="F776" t="str">
        <f t="shared" si="48"/>
        <v>Watch</v>
      </c>
      <c r="G776" t="str">
        <f t="shared" si="49"/>
        <v>Best</v>
      </c>
      <c r="H776" t="str" cm="1">
        <f t="array" ref="H776">_xlfn.IFS(E776&gt;8,"Best",E776=7,"Good",E776&gt;7,"Good",E776&lt;7,"Avg",E776&lt;6,"Below Avg")</f>
        <v>Best</v>
      </c>
      <c r="I776">
        <v>104</v>
      </c>
      <c r="K776" s="3">
        <v>29545512</v>
      </c>
      <c r="L776" s="3">
        <v>22697008</v>
      </c>
      <c r="M776" s="3">
        <f t="shared" si="50"/>
        <v>6848504</v>
      </c>
      <c r="N776" t="s">
        <v>420</v>
      </c>
      <c r="O776" t="s">
        <v>59</v>
      </c>
      <c r="P776" t="s">
        <v>11</v>
      </c>
      <c r="Q776" t="str">
        <f t="shared" si="51"/>
        <v>Kid</v>
      </c>
    </row>
    <row r="777" spans="1:17" x14ac:dyDescent="0.3">
      <c r="A777" t="s">
        <v>424</v>
      </c>
      <c r="B777">
        <v>2024</v>
      </c>
      <c r="C777" s="5" t="s">
        <v>387</v>
      </c>
      <c r="D777" t="s">
        <v>27</v>
      </c>
      <c r="E777" s="4">
        <v>7.3</v>
      </c>
      <c r="F777" t="str">
        <f t="shared" si="48"/>
        <v>Watch</v>
      </c>
      <c r="G777" t="str">
        <f t="shared" si="49"/>
        <v>Good</v>
      </c>
      <c r="H777" t="str" cm="1">
        <f t="array" ref="H777">_xlfn.IFS(E777&gt;8,"Best",E777=7,"Good",E777&gt;7,"Good",E777&lt;7,"Avg",E777&lt;6,"Below Avg")</f>
        <v>Good</v>
      </c>
      <c r="I777">
        <v>160</v>
      </c>
      <c r="K777" s="3">
        <v>62478885</v>
      </c>
      <c r="L777" s="3">
        <v>44652590</v>
      </c>
      <c r="M777" s="3">
        <f t="shared" si="50"/>
        <v>17826295</v>
      </c>
      <c r="O777" t="s">
        <v>425</v>
      </c>
      <c r="P777" t="s">
        <v>11</v>
      </c>
      <c r="Q777" t="str">
        <f t="shared" si="51"/>
        <v>Kid</v>
      </c>
    </row>
    <row r="778" spans="1:17" x14ac:dyDescent="0.3">
      <c r="A778" t="s">
        <v>426</v>
      </c>
      <c r="B778">
        <v>2024</v>
      </c>
      <c r="C778" s="5" t="s">
        <v>387</v>
      </c>
      <c r="D778" t="s">
        <v>8</v>
      </c>
      <c r="E778" s="4">
        <v>7.5</v>
      </c>
      <c r="F778" t="str">
        <f t="shared" si="48"/>
        <v>Watch</v>
      </c>
      <c r="G778" t="str">
        <f t="shared" si="49"/>
        <v>Good</v>
      </c>
      <c r="H778" t="str" cm="1">
        <f t="array" ref="H778">_xlfn.IFS(E778&gt;8,"Best",E778=7,"Good",E778&gt;7,"Good",E778&lt;7,"Avg",E778&lt;6,"Below Avg")</f>
        <v>Good</v>
      </c>
      <c r="I778">
        <v>138</v>
      </c>
      <c r="K778" s="3">
        <v>29158884</v>
      </c>
      <c r="L778" s="3">
        <v>22439256</v>
      </c>
      <c r="M778" s="3">
        <f t="shared" si="50"/>
        <v>6719628</v>
      </c>
      <c r="N778" t="s">
        <v>427</v>
      </c>
      <c r="O778" t="s">
        <v>182</v>
      </c>
      <c r="P778" t="s">
        <v>11</v>
      </c>
      <c r="Q778" t="str">
        <f t="shared" si="51"/>
        <v>Kid</v>
      </c>
    </row>
    <row r="779" spans="1:17" x14ac:dyDescent="0.3">
      <c r="A779" t="s">
        <v>428</v>
      </c>
      <c r="B779">
        <v>2024</v>
      </c>
      <c r="C779" s="5" t="s">
        <v>387</v>
      </c>
      <c r="D779" t="s">
        <v>65</v>
      </c>
      <c r="E779" s="4">
        <v>8.1</v>
      </c>
      <c r="F779" t="str">
        <f t="shared" si="48"/>
        <v>Watch</v>
      </c>
      <c r="G779" t="str">
        <f t="shared" si="49"/>
        <v>Good</v>
      </c>
      <c r="H779" t="str" cm="1">
        <f t="array" ref="H779">_xlfn.IFS(E779&gt;8,"Best",E779=7,"Good",E779&gt;7,"Good",E779&lt;7,"Avg",E779&lt;6,"Below Avg")</f>
        <v>Best</v>
      </c>
      <c r="I779">
        <v>150</v>
      </c>
      <c r="K779" s="3">
        <v>27199080</v>
      </c>
      <c r="L779" s="3">
        <v>21132720</v>
      </c>
      <c r="M779" s="3">
        <f t="shared" si="50"/>
        <v>6066360</v>
      </c>
      <c r="N779" t="s">
        <v>429</v>
      </c>
      <c r="O779" t="s">
        <v>430</v>
      </c>
      <c r="P779" t="s">
        <v>11</v>
      </c>
      <c r="Q779" t="str">
        <f t="shared" si="51"/>
        <v>Kid</v>
      </c>
    </row>
    <row r="780" spans="1:17" x14ac:dyDescent="0.3">
      <c r="A780" t="s">
        <v>431</v>
      </c>
      <c r="B780">
        <v>2024</v>
      </c>
      <c r="C780" s="5" t="s">
        <v>387</v>
      </c>
      <c r="D780" t="s">
        <v>2</v>
      </c>
      <c r="E780" s="4">
        <v>8.1</v>
      </c>
      <c r="F780" t="str">
        <f t="shared" si="48"/>
        <v>Watch</v>
      </c>
      <c r="G780" t="str">
        <f t="shared" si="49"/>
        <v>Good</v>
      </c>
      <c r="H780" t="str" cm="1">
        <f t="array" ref="H780">_xlfn.IFS(E780&gt;8,"Best",E780=7,"Good",E780&gt;7,"Good",E780&lt;7,"Avg",E780&lt;6,"Below Avg")</f>
        <v>Best</v>
      </c>
      <c r="I780">
        <v>159</v>
      </c>
      <c r="K780" s="3">
        <v>44548045</v>
      </c>
      <c r="L780" s="3">
        <v>12342446</v>
      </c>
      <c r="M780" s="3">
        <f t="shared" si="50"/>
        <v>32205599</v>
      </c>
      <c r="O780" t="s">
        <v>432</v>
      </c>
      <c r="P780" t="s">
        <v>4</v>
      </c>
      <c r="Q780" t="str">
        <f t="shared" si="51"/>
        <v>Adult</v>
      </c>
    </row>
    <row r="781" spans="1:17" x14ac:dyDescent="0.3">
      <c r="A781" t="s">
        <v>162</v>
      </c>
      <c r="B781">
        <v>2024</v>
      </c>
      <c r="C781" s="5" t="s">
        <v>163</v>
      </c>
      <c r="D781" t="s">
        <v>27</v>
      </c>
      <c r="E781" s="4">
        <v>8.9</v>
      </c>
      <c r="F781" t="str">
        <f t="shared" si="48"/>
        <v>Watch</v>
      </c>
      <c r="G781" t="str">
        <f t="shared" si="49"/>
        <v>Best</v>
      </c>
      <c r="H781" t="str" cm="1">
        <f t="array" ref="H781">_xlfn.IFS(E781&gt;8,"Best",E781=7,"Good",E781&gt;7,"Good",E781&lt;7,"Avg",E781&lt;6,"Below Avg")</f>
        <v>Best</v>
      </c>
      <c r="I781">
        <v>128</v>
      </c>
      <c r="K781" s="3">
        <v>490281735</v>
      </c>
      <c r="L781" s="3">
        <v>164099423</v>
      </c>
      <c r="M781" s="3">
        <f t="shared" si="50"/>
        <v>326182312</v>
      </c>
      <c r="O781" t="s">
        <v>164</v>
      </c>
      <c r="P781" t="s">
        <v>11</v>
      </c>
      <c r="Q781" t="str">
        <f t="shared" si="51"/>
        <v>Kid</v>
      </c>
    </row>
    <row r="782" spans="1:17" x14ac:dyDescent="0.3">
      <c r="A782" t="s">
        <v>171</v>
      </c>
      <c r="B782">
        <v>2024</v>
      </c>
      <c r="C782" s="5" t="s">
        <v>163</v>
      </c>
      <c r="D782" t="s">
        <v>8</v>
      </c>
      <c r="E782" s="4">
        <v>6.9</v>
      </c>
      <c r="F782" t="str">
        <f t="shared" si="48"/>
        <v>Watch</v>
      </c>
      <c r="G782" t="str">
        <f t="shared" si="49"/>
        <v>Avg</v>
      </c>
      <c r="H782" t="str" cm="1">
        <f t="array" ref="H782">_xlfn.IFS(E782&gt;8,"Best",E782=7,"Good",E782&gt;7,"Good",E782&lt;7,"Avg",E782&lt;6,"Below Avg")</f>
        <v>Avg</v>
      </c>
      <c r="I782">
        <v>123</v>
      </c>
      <c r="K782" s="3">
        <v>29358864</v>
      </c>
      <c r="L782" s="3">
        <v>22572576</v>
      </c>
      <c r="M782" s="3">
        <f t="shared" si="50"/>
        <v>6786288</v>
      </c>
      <c r="O782" t="s">
        <v>107</v>
      </c>
      <c r="P782" t="s">
        <v>11</v>
      </c>
      <c r="Q782" t="str">
        <f t="shared" si="51"/>
        <v>Kid</v>
      </c>
    </row>
    <row r="783" spans="1:17" x14ac:dyDescent="0.3">
      <c r="A783" t="s">
        <v>175</v>
      </c>
      <c r="B783">
        <v>2024</v>
      </c>
      <c r="C783" s="5" t="s">
        <v>163</v>
      </c>
      <c r="D783" t="s">
        <v>93</v>
      </c>
      <c r="E783" s="4">
        <v>7.4</v>
      </c>
      <c r="F783" t="str">
        <f t="shared" si="48"/>
        <v>Watch</v>
      </c>
      <c r="G783" t="str">
        <f t="shared" si="49"/>
        <v>Good</v>
      </c>
      <c r="H783" t="str" cm="1">
        <f t="array" ref="H783">_xlfn.IFS(E783&gt;8,"Best",E783=7,"Good",E783&gt;7,"Good",E783&lt;7,"Avg",E783&lt;6,"Below Avg")</f>
        <v>Good</v>
      </c>
      <c r="I783">
        <v>113</v>
      </c>
      <c r="K783" s="3">
        <v>28825584</v>
      </c>
      <c r="L783" s="3">
        <v>22217056</v>
      </c>
      <c r="M783" s="3">
        <f t="shared" si="50"/>
        <v>6608528</v>
      </c>
      <c r="N783" t="s">
        <v>176</v>
      </c>
      <c r="O783" t="s">
        <v>177</v>
      </c>
      <c r="P783" t="s">
        <v>11</v>
      </c>
      <c r="Q783" t="str">
        <f t="shared" si="51"/>
        <v>Kid</v>
      </c>
    </row>
    <row r="784" spans="1:17" x14ac:dyDescent="0.3">
      <c r="A784" t="s">
        <v>196</v>
      </c>
      <c r="B784">
        <v>2024</v>
      </c>
      <c r="C784" s="5" t="s">
        <v>163</v>
      </c>
      <c r="D784" t="s">
        <v>8</v>
      </c>
      <c r="E784" s="4">
        <v>8.5</v>
      </c>
      <c r="F784" t="str">
        <f t="shared" si="48"/>
        <v>Watch</v>
      </c>
      <c r="G784" t="str">
        <f t="shared" si="49"/>
        <v>Good</v>
      </c>
      <c r="H784" t="str" cm="1">
        <f t="array" ref="H784">_xlfn.IFS(E784&gt;8,"Best",E784=7,"Good",E784&gt;7,"Good",E784&lt;7,"Avg",E784&lt;6,"Below Avg")</f>
        <v>Best</v>
      </c>
      <c r="I784">
        <v>157</v>
      </c>
      <c r="K784" s="3">
        <v>28972236</v>
      </c>
      <c r="L784" s="3">
        <v>22314824</v>
      </c>
      <c r="M784" s="3">
        <f t="shared" si="50"/>
        <v>6657412</v>
      </c>
      <c r="O784" t="s">
        <v>197</v>
      </c>
      <c r="P784" t="s">
        <v>11</v>
      </c>
      <c r="Q784" t="str">
        <f t="shared" si="51"/>
        <v>Kid</v>
      </c>
    </row>
    <row r="785" spans="1:17" x14ac:dyDescent="0.3">
      <c r="A785" t="s">
        <v>198</v>
      </c>
      <c r="B785">
        <v>2024</v>
      </c>
      <c r="C785" s="5" t="s">
        <v>163</v>
      </c>
      <c r="D785" t="s">
        <v>35</v>
      </c>
      <c r="E785" s="4">
        <v>7.4</v>
      </c>
      <c r="F785" t="str">
        <f t="shared" si="48"/>
        <v>Watch</v>
      </c>
      <c r="G785" t="str">
        <f t="shared" si="49"/>
        <v>Good</v>
      </c>
      <c r="H785" t="str" cm="1">
        <f t="array" ref="H785">_xlfn.IFS(E785&gt;8,"Best",E785=7,"Good",E785&gt;7,"Good",E785&lt;7,"Avg",E785&lt;6,"Below Avg")</f>
        <v>Good</v>
      </c>
      <c r="I785">
        <v>98</v>
      </c>
      <c r="K785" s="3">
        <v>28275639</v>
      </c>
      <c r="L785" s="3">
        <v>21850426</v>
      </c>
      <c r="M785" s="3">
        <f t="shared" si="50"/>
        <v>6425213</v>
      </c>
      <c r="N785" t="s">
        <v>199</v>
      </c>
      <c r="O785" t="s">
        <v>200</v>
      </c>
      <c r="P785" t="s">
        <v>11</v>
      </c>
      <c r="Q785" t="str">
        <f t="shared" si="51"/>
        <v>Kid</v>
      </c>
    </row>
    <row r="786" spans="1:17" x14ac:dyDescent="0.3">
      <c r="A786" t="s">
        <v>201</v>
      </c>
      <c r="B786">
        <v>2024</v>
      </c>
      <c r="C786" s="5" t="s">
        <v>163</v>
      </c>
      <c r="D786" t="s">
        <v>8</v>
      </c>
      <c r="E786" s="4">
        <v>6</v>
      </c>
      <c r="F786" t="str">
        <f t="shared" si="48"/>
        <v>Don't Watch</v>
      </c>
      <c r="G786" t="str">
        <f t="shared" si="49"/>
        <v>Avg</v>
      </c>
      <c r="H786" t="str" cm="1">
        <f t="array" ref="H786">_xlfn.IFS(E786&gt;8,"Best",E786=7,"Good",E786&gt;7,"Good",E786&lt;7,"Avg",E786&lt;6,"Below Avg")</f>
        <v>Avg</v>
      </c>
      <c r="I786">
        <v>147</v>
      </c>
      <c r="K786" s="3">
        <v>29438856</v>
      </c>
      <c r="L786" s="3">
        <v>22625904</v>
      </c>
      <c r="M786" s="3">
        <f t="shared" si="50"/>
        <v>6812952</v>
      </c>
      <c r="N786" t="s">
        <v>202</v>
      </c>
      <c r="O786" t="s">
        <v>203</v>
      </c>
      <c r="P786" t="s">
        <v>11</v>
      </c>
      <c r="Q786" t="str">
        <f t="shared" si="51"/>
        <v>Kid</v>
      </c>
    </row>
    <row r="787" spans="1:17" x14ac:dyDescent="0.3">
      <c r="A787" t="s">
        <v>213</v>
      </c>
      <c r="B787">
        <v>2024</v>
      </c>
      <c r="C787" s="5" t="s">
        <v>163</v>
      </c>
      <c r="D787" t="s">
        <v>23</v>
      </c>
      <c r="E787" s="4">
        <v>9.1999999999999993</v>
      </c>
      <c r="F787" t="str">
        <f t="shared" si="48"/>
        <v>Watch</v>
      </c>
      <c r="G787" t="str">
        <f t="shared" si="49"/>
        <v>Best</v>
      </c>
      <c r="H787" t="str" cm="1">
        <f t="array" ref="H787">_xlfn.IFS(E787&gt;8,"Best",E787=7,"Good",E787&gt;7,"Good",E787&lt;7,"Avg",E787&lt;6,"Below Avg")</f>
        <v>Best</v>
      </c>
      <c r="I787">
        <v>152</v>
      </c>
      <c r="K787" s="3">
        <v>27455721</v>
      </c>
      <c r="L787" s="3">
        <v>21303814</v>
      </c>
      <c r="M787" s="3">
        <f t="shared" si="50"/>
        <v>6151907</v>
      </c>
      <c r="N787" t="s">
        <v>214</v>
      </c>
      <c r="O787" t="s">
        <v>3</v>
      </c>
      <c r="P787" t="s">
        <v>11</v>
      </c>
      <c r="Q787" t="str">
        <f t="shared" si="51"/>
        <v>Kid</v>
      </c>
    </row>
    <row r="788" spans="1:17" x14ac:dyDescent="0.3">
      <c r="A788" t="s">
        <v>215</v>
      </c>
      <c r="B788">
        <v>2024</v>
      </c>
      <c r="C788" s="5" t="s">
        <v>163</v>
      </c>
      <c r="D788" t="s">
        <v>85</v>
      </c>
      <c r="E788" s="4">
        <v>8.5</v>
      </c>
      <c r="F788" t="str">
        <f t="shared" si="48"/>
        <v>Watch</v>
      </c>
      <c r="G788" t="str">
        <f t="shared" si="49"/>
        <v>Good</v>
      </c>
      <c r="H788" t="str" cm="1">
        <f t="array" ref="H788">_xlfn.IFS(E788&gt;8,"Best",E788=7,"Good",E788&gt;7,"Good",E788&lt;7,"Avg",E788&lt;6,"Below Avg")</f>
        <v>Best</v>
      </c>
      <c r="I788">
        <v>127</v>
      </c>
      <c r="K788" s="3">
        <v>41453910</v>
      </c>
      <c r="L788" s="3">
        <v>11655108</v>
      </c>
      <c r="M788" s="3">
        <f t="shared" si="50"/>
        <v>29798802</v>
      </c>
      <c r="N788" t="s">
        <v>216</v>
      </c>
      <c r="O788" t="s">
        <v>217</v>
      </c>
      <c r="P788" t="s">
        <v>4</v>
      </c>
      <c r="Q788" t="str">
        <f t="shared" si="51"/>
        <v>Adult</v>
      </c>
    </row>
    <row r="789" spans="1:17" x14ac:dyDescent="0.3">
      <c r="A789" t="s">
        <v>218</v>
      </c>
      <c r="B789">
        <v>2024</v>
      </c>
      <c r="C789" s="5" t="s">
        <v>163</v>
      </c>
      <c r="D789" t="s">
        <v>2</v>
      </c>
      <c r="E789" s="4">
        <v>8.4</v>
      </c>
      <c r="F789" t="str">
        <f t="shared" si="48"/>
        <v>Watch</v>
      </c>
      <c r="G789" t="str">
        <f t="shared" si="49"/>
        <v>Good</v>
      </c>
      <c r="H789" t="str" cm="1">
        <f t="array" ref="H789">_xlfn.IFS(E789&gt;8,"Best",E789=7,"Good",E789&gt;7,"Good",E789&lt;7,"Avg",E789&lt;6,"Below Avg")</f>
        <v>Best</v>
      </c>
      <c r="I789">
        <v>117</v>
      </c>
      <c r="K789" s="3">
        <v>50980735</v>
      </c>
      <c r="L789" s="3">
        <v>13771418</v>
      </c>
      <c r="M789" s="3">
        <f t="shared" si="50"/>
        <v>37209317</v>
      </c>
      <c r="O789" t="s">
        <v>219</v>
      </c>
      <c r="P789" t="s">
        <v>4</v>
      </c>
      <c r="Q789" t="str">
        <f t="shared" si="51"/>
        <v>Adult</v>
      </c>
    </row>
    <row r="790" spans="1:17" x14ac:dyDescent="0.3">
      <c r="A790" t="s">
        <v>228</v>
      </c>
      <c r="B790">
        <v>2024</v>
      </c>
      <c r="C790" s="5" t="s">
        <v>163</v>
      </c>
      <c r="D790" t="s">
        <v>148</v>
      </c>
      <c r="E790" s="4">
        <v>6.2</v>
      </c>
      <c r="F790" t="str">
        <f t="shared" si="48"/>
        <v>Don't Watch</v>
      </c>
      <c r="G790" t="str">
        <f t="shared" si="49"/>
        <v>Avg</v>
      </c>
      <c r="H790" t="str" cm="1">
        <f t="array" ref="H790">_xlfn.IFS(E790&gt;8,"Best",E790=7,"Good",E790&gt;7,"Good",E790&lt;7,"Avg",E790&lt;6,"Below Avg")</f>
        <v>Avg</v>
      </c>
      <c r="I790">
        <v>119</v>
      </c>
      <c r="K790" s="3">
        <v>46825595</v>
      </c>
      <c r="L790" s="3">
        <v>12848386</v>
      </c>
      <c r="M790" s="3">
        <f t="shared" si="50"/>
        <v>33977209</v>
      </c>
      <c r="N790" t="s">
        <v>229</v>
      </c>
      <c r="O790" t="s">
        <v>230</v>
      </c>
      <c r="P790" t="s">
        <v>4</v>
      </c>
      <c r="Q790" t="str">
        <f t="shared" si="51"/>
        <v>Adult</v>
      </c>
    </row>
    <row r="791" spans="1:17" x14ac:dyDescent="0.3">
      <c r="A791" t="s">
        <v>231</v>
      </c>
      <c r="B791">
        <v>2024</v>
      </c>
      <c r="C791" s="5" t="s">
        <v>163</v>
      </c>
      <c r="D791" t="s">
        <v>232</v>
      </c>
      <c r="E791" s="4">
        <v>8.8000000000000007</v>
      </c>
      <c r="F791" t="str">
        <f t="shared" si="48"/>
        <v>Watch</v>
      </c>
      <c r="G791" t="str">
        <f t="shared" si="49"/>
        <v>Best</v>
      </c>
      <c r="H791" t="str" cm="1">
        <f t="array" ref="H791">_xlfn.IFS(E791&gt;8,"Best",E791=7,"Good",E791&gt;7,"Good",E791&lt;7,"Avg",E791&lt;6,"Below Avg")</f>
        <v>Best</v>
      </c>
      <c r="I791">
        <v>145</v>
      </c>
      <c r="K791" s="3">
        <v>33931740</v>
      </c>
      <c r="L791" s="3">
        <v>25621160</v>
      </c>
      <c r="M791" s="3">
        <f t="shared" si="50"/>
        <v>8310580</v>
      </c>
      <c r="N791" t="s">
        <v>233</v>
      </c>
      <c r="O791" t="s">
        <v>164</v>
      </c>
      <c r="P791" t="s">
        <v>11</v>
      </c>
      <c r="Q791" t="str">
        <f t="shared" si="51"/>
        <v>Kid</v>
      </c>
    </row>
    <row r="792" spans="1:17" x14ac:dyDescent="0.3">
      <c r="A792" t="s">
        <v>165</v>
      </c>
      <c r="B792">
        <v>2024</v>
      </c>
      <c r="C792" s="5" t="s">
        <v>163</v>
      </c>
      <c r="D792" t="s">
        <v>8</v>
      </c>
      <c r="E792" s="4">
        <v>8.6999999999999993</v>
      </c>
      <c r="F792" t="str">
        <f t="shared" si="48"/>
        <v>Watch</v>
      </c>
      <c r="G792" t="str">
        <f t="shared" si="49"/>
        <v>Best</v>
      </c>
      <c r="H792" t="str" cm="1">
        <f t="array" ref="H792">_xlfn.IFS(E792&gt;8,"Best",E792=7,"Good",E792&gt;7,"Good",E792&lt;7,"Avg",E792&lt;6,"Below Avg")</f>
        <v>Best</v>
      </c>
      <c r="I792">
        <v>147</v>
      </c>
      <c r="K792" s="3">
        <v>27439056</v>
      </c>
      <c r="L792" s="3">
        <v>21292704</v>
      </c>
      <c r="M792" s="3">
        <f t="shared" si="50"/>
        <v>6146352</v>
      </c>
      <c r="N792" t="s">
        <v>166</v>
      </c>
      <c r="O792" t="s">
        <v>167</v>
      </c>
      <c r="P792" t="s">
        <v>11</v>
      </c>
      <c r="Q792" t="str">
        <f t="shared" si="51"/>
        <v>Kid</v>
      </c>
    </row>
    <row r="793" spans="1:17" x14ac:dyDescent="0.3">
      <c r="A793" t="s">
        <v>168</v>
      </c>
      <c r="B793">
        <v>2024</v>
      </c>
      <c r="C793" s="5" t="s">
        <v>163</v>
      </c>
      <c r="D793" t="s">
        <v>93</v>
      </c>
      <c r="E793" s="4">
        <v>6.1</v>
      </c>
      <c r="F793" t="str">
        <f t="shared" si="48"/>
        <v>Don't Watch</v>
      </c>
      <c r="G793" t="str">
        <f t="shared" si="49"/>
        <v>Avg</v>
      </c>
      <c r="H793" t="str" cm="1">
        <f t="array" ref="H793">_xlfn.IFS(E793&gt;8,"Best",E793=7,"Good",E793&gt;7,"Good",E793&lt;7,"Avg",E793&lt;6,"Below Avg")</f>
        <v>Avg</v>
      </c>
      <c r="I793">
        <v>100</v>
      </c>
      <c r="K793" s="3">
        <v>34281705</v>
      </c>
      <c r="L793" s="3">
        <v>25854470</v>
      </c>
      <c r="M793" s="3">
        <f t="shared" si="50"/>
        <v>8427235</v>
      </c>
      <c r="N793" t="s">
        <v>169</v>
      </c>
      <c r="O793" t="s">
        <v>170</v>
      </c>
      <c r="P793" t="s">
        <v>11</v>
      </c>
      <c r="Q793" t="str">
        <f t="shared" si="51"/>
        <v>Kid</v>
      </c>
    </row>
    <row r="794" spans="1:17" x14ac:dyDescent="0.3">
      <c r="A794" t="s">
        <v>172</v>
      </c>
      <c r="B794">
        <v>2024</v>
      </c>
      <c r="C794" s="5" t="s">
        <v>163</v>
      </c>
      <c r="D794" t="s">
        <v>127</v>
      </c>
      <c r="E794" s="4">
        <v>8</v>
      </c>
      <c r="F794" t="str">
        <f t="shared" si="48"/>
        <v>Watch</v>
      </c>
      <c r="G794" t="str">
        <f t="shared" si="49"/>
        <v>Good</v>
      </c>
      <c r="H794" t="str" cm="1">
        <f t="array" ref="H794">_xlfn.IFS(E794&gt;8,"Best",E794=7,"Good",E794&gt;7,"Good",E794&lt;7,"Avg",E794&lt;6,"Below Avg")</f>
        <v>Good</v>
      </c>
      <c r="I794">
        <v>143</v>
      </c>
      <c r="K794" s="3">
        <v>31925274</v>
      </c>
      <c r="L794" s="3">
        <v>24283516</v>
      </c>
      <c r="M794" s="3">
        <f t="shared" si="50"/>
        <v>7641758</v>
      </c>
      <c r="N794" t="s">
        <v>173</v>
      </c>
      <c r="O794" t="s">
        <v>174</v>
      </c>
      <c r="P794" t="s">
        <v>11</v>
      </c>
      <c r="Q794" t="str">
        <f t="shared" si="51"/>
        <v>Kid</v>
      </c>
    </row>
    <row r="795" spans="1:17" x14ac:dyDescent="0.3">
      <c r="A795" t="s">
        <v>178</v>
      </c>
      <c r="B795">
        <v>2024</v>
      </c>
      <c r="C795" s="5" t="s">
        <v>163</v>
      </c>
      <c r="D795" t="s">
        <v>2</v>
      </c>
      <c r="E795" s="4">
        <v>7.6</v>
      </c>
      <c r="F795" t="str">
        <f t="shared" si="48"/>
        <v>Watch</v>
      </c>
      <c r="G795" t="str">
        <f t="shared" si="49"/>
        <v>Good</v>
      </c>
      <c r="H795" t="str" cm="1">
        <f t="array" ref="H795">_xlfn.IFS(E795&gt;8,"Best",E795=7,"Good",E795&gt;7,"Good",E795&lt;7,"Avg",E795&lt;6,"Below Avg")</f>
        <v>Good</v>
      </c>
      <c r="I795">
        <v>118</v>
      </c>
      <c r="K795" s="3">
        <v>41403915</v>
      </c>
      <c r="L795" s="3">
        <v>11644002</v>
      </c>
      <c r="M795" s="3">
        <f t="shared" si="50"/>
        <v>29759913</v>
      </c>
      <c r="O795" t="s">
        <v>179</v>
      </c>
      <c r="P795" t="s">
        <v>4</v>
      </c>
      <c r="Q795" t="str">
        <f t="shared" si="51"/>
        <v>Adult</v>
      </c>
    </row>
    <row r="796" spans="1:17" x14ac:dyDescent="0.3">
      <c r="A796" t="s">
        <v>180</v>
      </c>
      <c r="B796">
        <v>2024</v>
      </c>
      <c r="C796" s="5" t="s">
        <v>163</v>
      </c>
      <c r="D796" t="s">
        <v>85</v>
      </c>
      <c r="E796" s="4">
        <v>7.5</v>
      </c>
      <c r="F796" t="str">
        <f t="shared" si="48"/>
        <v>Watch</v>
      </c>
      <c r="G796" t="str">
        <f t="shared" si="49"/>
        <v>Good</v>
      </c>
      <c r="H796" t="str" cm="1">
        <f t="array" ref="H796">_xlfn.IFS(E796&gt;8,"Best",E796=7,"Good",E796&gt;7,"Good",E796&lt;7,"Avg",E796&lt;6,"Below Avg")</f>
        <v>Good</v>
      </c>
      <c r="I796">
        <v>162</v>
      </c>
      <c r="K796" s="3">
        <v>39565210</v>
      </c>
      <c r="L796" s="3">
        <v>11235548</v>
      </c>
      <c r="M796" s="3">
        <f t="shared" si="50"/>
        <v>28329662</v>
      </c>
      <c r="N796" t="s">
        <v>181</v>
      </c>
      <c r="O796" t="s">
        <v>182</v>
      </c>
      <c r="P796" t="s">
        <v>4</v>
      </c>
      <c r="Q796" t="str">
        <f t="shared" si="51"/>
        <v>Adult</v>
      </c>
    </row>
    <row r="797" spans="1:17" x14ac:dyDescent="0.3">
      <c r="A797" t="s">
        <v>183</v>
      </c>
      <c r="B797">
        <v>2024</v>
      </c>
      <c r="C797" s="5" t="s">
        <v>163</v>
      </c>
      <c r="D797" t="s">
        <v>27</v>
      </c>
      <c r="E797" s="4">
        <v>8.1999999999999993</v>
      </c>
      <c r="F797" t="str">
        <f t="shared" si="48"/>
        <v>Watch</v>
      </c>
      <c r="G797" t="str">
        <f t="shared" si="49"/>
        <v>Good</v>
      </c>
      <c r="H797" t="str" cm="1">
        <f t="array" ref="H797">_xlfn.IFS(E797&gt;8,"Best",E797=7,"Good",E797&gt;7,"Good",E797&lt;7,"Avg",E797&lt;6,"Below Avg")</f>
        <v>Best</v>
      </c>
      <c r="I797">
        <v>100</v>
      </c>
      <c r="K797" s="3">
        <v>30282105</v>
      </c>
      <c r="L797" s="3">
        <v>23188070</v>
      </c>
      <c r="M797" s="3">
        <f t="shared" si="50"/>
        <v>7094035</v>
      </c>
      <c r="O797" t="s">
        <v>184</v>
      </c>
      <c r="P797" t="s">
        <v>11</v>
      </c>
      <c r="Q797" t="str">
        <f t="shared" si="51"/>
        <v>Kid</v>
      </c>
    </row>
    <row r="798" spans="1:17" x14ac:dyDescent="0.3">
      <c r="A798" t="s">
        <v>185</v>
      </c>
      <c r="B798">
        <v>2024</v>
      </c>
      <c r="C798" s="5" t="s">
        <v>163</v>
      </c>
      <c r="D798" t="s">
        <v>19</v>
      </c>
      <c r="E798" s="4">
        <v>7.4</v>
      </c>
      <c r="F798" t="str">
        <f t="shared" si="48"/>
        <v>Watch</v>
      </c>
      <c r="G798" t="str">
        <f t="shared" si="49"/>
        <v>Good</v>
      </c>
      <c r="H798" t="str" cm="1">
        <f t="array" ref="H798">_xlfn.IFS(E798&gt;8,"Best",E798=7,"Good",E798&gt;7,"Good",E798&lt;7,"Avg",E798&lt;6,"Below Avg")</f>
        <v>Good</v>
      </c>
      <c r="I798">
        <v>110</v>
      </c>
      <c r="K798" s="3">
        <v>27065760</v>
      </c>
      <c r="L798" s="3">
        <v>21043840</v>
      </c>
      <c r="M798" s="3">
        <f t="shared" si="50"/>
        <v>6021920</v>
      </c>
      <c r="N798" t="s">
        <v>186</v>
      </c>
      <c r="O798" t="s">
        <v>187</v>
      </c>
      <c r="P798" t="s">
        <v>11</v>
      </c>
      <c r="Q798" t="str">
        <f t="shared" si="51"/>
        <v>Kid</v>
      </c>
    </row>
    <row r="799" spans="1:17" x14ac:dyDescent="0.3">
      <c r="A799" t="s">
        <v>188</v>
      </c>
      <c r="B799">
        <v>2024</v>
      </c>
      <c r="C799" s="5" t="s">
        <v>163</v>
      </c>
      <c r="D799" t="s">
        <v>27</v>
      </c>
      <c r="E799" s="4">
        <v>6.4</v>
      </c>
      <c r="F799" t="str">
        <f t="shared" si="48"/>
        <v>Don't Watch</v>
      </c>
      <c r="G799" t="str">
        <f t="shared" si="49"/>
        <v>Avg</v>
      </c>
      <c r="H799" t="str" cm="1">
        <f t="array" ref="H799">_xlfn.IFS(E799&gt;8,"Best",E799=7,"Good",E799&gt;7,"Good",E799&lt;7,"Avg",E799&lt;6,"Below Avg")</f>
        <v>Avg</v>
      </c>
      <c r="I799">
        <v>133</v>
      </c>
      <c r="K799" s="3">
        <v>29892144</v>
      </c>
      <c r="L799" s="3">
        <v>22928096</v>
      </c>
      <c r="M799" s="3">
        <f t="shared" si="50"/>
        <v>6964048</v>
      </c>
      <c r="N799" t="s">
        <v>189</v>
      </c>
      <c r="O799" t="s">
        <v>190</v>
      </c>
      <c r="P799" t="s">
        <v>11</v>
      </c>
      <c r="Q799" t="str">
        <f t="shared" si="51"/>
        <v>Kid</v>
      </c>
    </row>
    <row r="800" spans="1:17" x14ac:dyDescent="0.3">
      <c r="A800" t="s">
        <v>191</v>
      </c>
      <c r="B800">
        <v>2024</v>
      </c>
      <c r="C800" s="5" t="s">
        <v>163</v>
      </c>
      <c r="D800" t="s">
        <v>8</v>
      </c>
      <c r="E800" s="4">
        <v>8.9</v>
      </c>
      <c r="F800" t="str">
        <f t="shared" si="48"/>
        <v>Watch</v>
      </c>
      <c r="G800" t="str">
        <f t="shared" si="49"/>
        <v>Best</v>
      </c>
      <c r="H800" t="str" cm="1">
        <f t="array" ref="H800">_xlfn.IFS(E800&gt;8,"Best",E800=7,"Good",E800&gt;7,"Good",E800&lt;7,"Avg",E800&lt;6,"Below Avg")</f>
        <v>Best</v>
      </c>
      <c r="I800">
        <v>125</v>
      </c>
      <c r="K800" s="3">
        <v>29865480</v>
      </c>
      <c r="L800" s="3">
        <v>22910320</v>
      </c>
      <c r="M800" s="3">
        <f t="shared" si="50"/>
        <v>6955160</v>
      </c>
      <c r="N800" t="s">
        <v>192</v>
      </c>
      <c r="O800" t="s">
        <v>112</v>
      </c>
      <c r="P800" t="s">
        <v>11</v>
      </c>
      <c r="Q800" t="str">
        <f t="shared" si="51"/>
        <v>Kid</v>
      </c>
    </row>
    <row r="801" spans="1:17" x14ac:dyDescent="0.3">
      <c r="A801" t="s">
        <v>193</v>
      </c>
      <c r="B801">
        <v>2024</v>
      </c>
      <c r="C801" s="5" t="s">
        <v>163</v>
      </c>
      <c r="D801" t="s">
        <v>31</v>
      </c>
      <c r="E801" s="4">
        <v>8.1999999999999993</v>
      </c>
      <c r="F801" t="str">
        <f t="shared" si="48"/>
        <v>Watch</v>
      </c>
      <c r="G801" t="str">
        <f t="shared" si="49"/>
        <v>Good</v>
      </c>
      <c r="H801" t="str" cm="1">
        <f t="array" ref="H801">_xlfn.IFS(E801&gt;8,"Best",E801=7,"Good",E801&gt;7,"Good",E801&lt;7,"Avg",E801&lt;6,"Below Avg")</f>
        <v>Best</v>
      </c>
      <c r="I801">
        <v>121</v>
      </c>
      <c r="K801" s="3">
        <v>28852248</v>
      </c>
      <c r="L801" s="3">
        <v>22234832</v>
      </c>
      <c r="M801" s="3">
        <f t="shared" si="50"/>
        <v>6617416</v>
      </c>
      <c r="N801" t="s">
        <v>194</v>
      </c>
      <c r="O801" t="s">
        <v>195</v>
      </c>
      <c r="P801" t="s">
        <v>11</v>
      </c>
      <c r="Q801" t="str">
        <f t="shared" si="51"/>
        <v>Kid</v>
      </c>
    </row>
    <row r="802" spans="1:17" x14ac:dyDescent="0.3">
      <c r="A802" t="s">
        <v>204</v>
      </c>
      <c r="B802">
        <v>2024</v>
      </c>
      <c r="C802" s="5" t="s">
        <v>163</v>
      </c>
      <c r="D802" t="s">
        <v>127</v>
      </c>
      <c r="E802" s="4">
        <v>6.8</v>
      </c>
      <c r="F802" t="str">
        <f t="shared" si="48"/>
        <v>Watch</v>
      </c>
      <c r="G802" t="str">
        <f t="shared" si="49"/>
        <v>Avg</v>
      </c>
      <c r="H802" t="str" cm="1">
        <f t="array" ref="H802">_xlfn.IFS(E802&gt;8,"Best",E802=7,"Good",E802&gt;7,"Good",E802&lt;7,"Avg",E802&lt;6,"Below Avg")</f>
        <v>Avg</v>
      </c>
      <c r="I802">
        <v>143</v>
      </c>
      <c r="K802" s="3">
        <v>27925674</v>
      </c>
      <c r="L802" s="3">
        <v>21617116</v>
      </c>
      <c r="M802" s="3">
        <f t="shared" si="50"/>
        <v>6308558</v>
      </c>
      <c r="N802" t="s">
        <v>205</v>
      </c>
      <c r="O802" t="s">
        <v>206</v>
      </c>
      <c r="P802" t="s">
        <v>11</v>
      </c>
      <c r="Q802" t="str">
        <f t="shared" si="51"/>
        <v>Kid</v>
      </c>
    </row>
    <row r="803" spans="1:17" x14ac:dyDescent="0.3">
      <c r="A803" t="s">
        <v>207</v>
      </c>
      <c r="B803">
        <v>2024</v>
      </c>
      <c r="C803" s="5" t="s">
        <v>163</v>
      </c>
      <c r="D803" t="s">
        <v>8</v>
      </c>
      <c r="E803" s="4">
        <v>8.4</v>
      </c>
      <c r="F803" t="str">
        <f t="shared" si="48"/>
        <v>Watch</v>
      </c>
      <c r="G803" t="str">
        <f t="shared" si="49"/>
        <v>Good</v>
      </c>
      <c r="H803" t="str" cm="1">
        <f t="array" ref="H803">_xlfn.IFS(E803&gt;8,"Best",E803=7,"Good",E803&gt;7,"Good",E803&lt;7,"Avg",E803&lt;6,"Below Avg")</f>
        <v>Best</v>
      </c>
      <c r="I803">
        <v>120</v>
      </c>
      <c r="K803" s="3">
        <v>27099090</v>
      </c>
      <c r="L803" s="3">
        <v>21066060</v>
      </c>
      <c r="M803" s="3">
        <f t="shared" si="50"/>
        <v>6033030</v>
      </c>
      <c r="N803" t="s">
        <v>208</v>
      </c>
      <c r="O803" t="s">
        <v>209</v>
      </c>
      <c r="P803" t="s">
        <v>11</v>
      </c>
      <c r="Q803" t="str">
        <f t="shared" si="51"/>
        <v>Kid</v>
      </c>
    </row>
    <row r="804" spans="1:17" x14ac:dyDescent="0.3">
      <c r="A804" t="s">
        <v>210</v>
      </c>
      <c r="B804">
        <v>2024</v>
      </c>
      <c r="C804" s="5" t="s">
        <v>163</v>
      </c>
      <c r="D804" t="s">
        <v>8</v>
      </c>
      <c r="E804" s="4">
        <v>6.4</v>
      </c>
      <c r="F804" t="str">
        <f t="shared" si="48"/>
        <v>Don't Watch</v>
      </c>
      <c r="G804" t="str">
        <f t="shared" si="49"/>
        <v>Avg</v>
      </c>
      <c r="H804" t="str" cm="1">
        <f t="array" ref="H804">_xlfn.IFS(E804&gt;8,"Best",E804=7,"Good",E804&gt;7,"Good",E804&lt;7,"Avg",E804&lt;6,"Below Avg")</f>
        <v>Avg</v>
      </c>
      <c r="I804">
        <v>94</v>
      </c>
      <c r="K804" s="3">
        <v>29012232</v>
      </c>
      <c r="L804" s="3">
        <v>22341488</v>
      </c>
      <c r="M804" s="3">
        <f t="shared" si="50"/>
        <v>6670744</v>
      </c>
      <c r="N804" t="s">
        <v>211</v>
      </c>
      <c r="O804" t="s">
        <v>212</v>
      </c>
      <c r="P804" t="s">
        <v>11</v>
      </c>
      <c r="Q804" t="str">
        <f t="shared" si="51"/>
        <v>Kid</v>
      </c>
    </row>
    <row r="805" spans="1:17" x14ac:dyDescent="0.3">
      <c r="A805" t="s">
        <v>220</v>
      </c>
      <c r="B805">
        <v>2024</v>
      </c>
      <c r="C805" s="5" t="s">
        <v>163</v>
      </c>
      <c r="D805" t="s">
        <v>39</v>
      </c>
      <c r="E805" s="4">
        <v>7.4</v>
      </c>
      <c r="F805" t="str">
        <f t="shared" si="48"/>
        <v>Watch</v>
      </c>
      <c r="G805" t="str">
        <f t="shared" si="49"/>
        <v>Good</v>
      </c>
      <c r="H805" t="str" cm="1">
        <f t="array" ref="H805">_xlfn.IFS(E805&gt;8,"Best",E805=7,"Good",E805&gt;7,"Good",E805&lt;7,"Avg",E805&lt;6,"Below Avg")</f>
        <v>Good</v>
      </c>
      <c r="I805">
        <v>140</v>
      </c>
      <c r="K805" s="3">
        <v>28165650</v>
      </c>
      <c r="L805" s="3">
        <v>21777100</v>
      </c>
      <c r="M805" s="3">
        <f t="shared" si="50"/>
        <v>6388550</v>
      </c>
      <c r="N805" t="s">
        <v>221</v>
      </c>
      <c r="O805" t="s">
        <v>222</v>
      </c>
      <c r="P805" t="s">
        <v>11</v>
      </c>
      <c r="Q805" t="str">
        <f t="shared" si="51"/>
        <v>Kid</v>
      </c>
    </row>
    <row r="806" spans="1:17" x14ac:dyDescent="0.3">
      <c r="A806" t="s">
        <v>223</v>
      </c>
      <c r="B806">
        <v>2024</v>
      </c>
      <c r="C806" s="5" t="s">
        <v>163</v>
      </c>
      <c r="D806" t="s">
        <v>61</v>
      </c>
      <c r="E806" s="4">
        <v>6.9</v>
      </c>
      <c r="F806" t="str">
        <f t="shared" si="48"/>
        <v>Watch</v>
      </c>
      <c r="G806" t="str">
        <f t="shared" si="49"/>
        <v>Avg</v>
      </c>
      <c r="H806" t="str" cm="1">
        <f t="array" ref="H806">_xlfn.IFS(E806&gt;8,"Best",E806=7,"Good",E806&gt;7,"Good",E806&lt;7,"Avg",E806&lt;6,"Below Avg")</f>
        <v>Avg</v>
      </c>
      <c r="I806">
        <v>141</v>
      </c>
      <c r="K806" s="3">
        <v>28918908</v>
      </c>
      <c r="L806" s="3">
        <v>22279272</v>
      </c>
      <c r="M806" s="3">
        <f t="shared" si="50"/>
        <v>6639636</v>
      </c>
      <c r="O806" t="s">
        <v>224</v>
      </c>
      <c r="P806" t="s">
        <v>11</v>
      </c>
      <c r="Q806" t="str">
        <f t="shared" si="51"/>
        <v>Kid</v>
      </c>
    </row>
    <row r="807" spans="1:17" x14ac:dyDescent="0.3">
      <c r="A807" t="s">
        <v>225</v>
      </c>
      <c r="B807">
        <v>2024</v>
      </c>
      <c r="C807" s="5" t="s">
        <v>163</v>
      </c>
      <c r="D807" t="s">
        <v>93</v>
      </c>
      <c r="E807" s="4">
        <v>7.2</v>
      </c>
      <c r="F807" t="str">
        <f t="shared" si="48"/>
        <v>Watch</v>
      </c>
      <c r="G807" t="str">
        <f t="shared" si="49"/>
        <v>Good</v>
      </c>
      <c r="H807" t="str" cm="1">
        <f t="array" ref="H807">_xlfn.IFS(E807&gt;8,"Best",E807=7,"Good",E807&gt;7,"Good",E807&lt;7,"Avg",E807&lt;6,"Below Avg")</f>
        <v>Good</v>
      </c>
      <c r="I807">
        <v>120</v>
      </c>
      <c r="K807" s="3">
        <v>31348665</v>
      </c>
      <c r="L807" s="3">
        <v>23899110</v>
      </c>
      <c r="M807" s="3">
        <f t="shared" si="50"/>
        <v>7449555</v>
      </c>
      <c r="N807" t="s">
        <v>226</v>
      </c>
      <c r="O807" t="s">
        <v>227</v>
      </c>
      <c r="P807" t="s">
        <v>11</v>
      </c>
      <c r="Q807" t="str">
        <f t="shared" si="51"/>
        <v>Kid</v>
      </c>
    </row>
    <row r="808" spans="1:17" x14ac:dyDescent="0.3">
      <c r="A808" t="s">
        <v>234</v>
      </c>
      <c r="B808">
        <v>2024</v>
      </c>
      <c r="C808" s="5" t="s">
        <v>163</v>
      </c>
      <c r="D808" t="s">
        <v>27</v>
      </c>
      <c r="E808" s="4">
        <v>7.4</v>
      </c>
      <c r="F808" t="str">
        <f t="shared" si="48"/>
        <v>Watch</v>
      </c>
      <c r="G808" t="str">
        <f t="shared" si="49"/>
        <v>Good</v>
      </c>
      <c r="H808" t="str" cm="1">
        <f t="array" ref="H808">_xlfn.IFS(E808&gt;8,"Best",E808=7,"Good",E808&gt;7,"Good",E808&lt;7,"Avg",E808&lt;6,"Below Avg")</f>
        <v>Good</v>
      </c>
      <c r="I808">
        <v>122</v>
      </c>
      <c r="K808" s="3">
        <v>28605606</v>
      </c>
      <c r="L808" s="3">
        <v>22070404</v>
      </c>
      <c r="M808" s="3">
        <f t="shared" si="50"/>
        <v>6535202</v>
      </c>
      <c r="N808" t="s">
        <v>235</v>
      </c>
      <c r="O808" t="s">
        <v>236</v>
      </c>
      <c r="P808" t="s">
        <v>11</v>
      </c>
      <c r="Q808" t="str">
        <f t="shared" si="51"/>
        <v>Kid</v>
      </c>
    </row>
    <row r="809" spans="1:17" x14ac:dyDescent="0.3">
      <c r="A809" t="s">
        <v>237</v>
      </c>
      <c r="B809">
        <v>2024</v>
      </c>
      <c r="C809" s="5" t="s">
        <v>163</v>
      </c>
      <c r="D809" t="s">
        <v>8</v>
      </c>
      <c r="E809" s="4">
        <v>7.5</v>
      </c>
      <c r="F809" t="str">
        <f t="shared" si="48"/>
        <v>Watch</v>
      </c>
      <c r="G809" t="str">
        <f t="shared" si="49"/>
        <v>Good</v>
      </c>
      <c r="H809" t="str" cm="1">
        <f t="array" ref="H809">_xlfn.IFS(E809&gt;8,"Best",E809=7,"Good",E809&gt;7,"Good",E809&lt;7,"Avg",E809&lt;6,"Below Avg")</f>
        <v>Good</v>
      </c>
      <c r="I809">
        <v>123</v>
      </c>
      <c r="K809" s="3">
        <v>28608939</v>
      </c>
      <c r="L809" s="3">
        <v>22072626</v>
      </c>
      <c r="M809" s="3">
        <f t="shared" si="50"/>
        <v>6536313</v>
      </c>
      <c r="N809" t="s">
        <v>238</v>
      </c>
      <c r="O809" t="s">
        <v>112</v>
      </c>
      <c r="P809" t="s">
        <v>11</v>
      </c>
      <c r="Q809" t="str">
        <f t="shared" si="51"/>
        <v>Kid</v>
      </c>
    </row>
    <row r="810" spans="1:17" x14ac:dyDescent="0.3">
      <c r="A810" t="s">
        <v>308</v>
      </c>
      <c r="B810">
        <v>2024</v>
      </c>
      <c r="C810" s="5" t="s">
        <v>309</v>
      </c>
      <c r="D810" t="s">
        <v>35</v>
      </c>
      <c r="E810" s="4">
        <v>7</v>
      </c>
      <c r="F810" t="str">
        <f t="shared" si="48"/>
        <v>Watch</v>
      </c>
      <c r="G810" t="str">
        <f t="shared" si="49"/>
        <v>Avg</v>
      </c>
      <c r="H810" t="str" cm="1">
        <f t="array" ref="H810">_xlfn.IFS(E810&gt;8,"Best",E810=7,"Good",E810&gt;7,"Good",E810&lt;7,"Avg",E810&lt;6,"Below Avg")</f>
        <v>Good</v>
      </c>
      <c r="I810">
        <v>100</v>
      </c>
      <c r="K810" s="3">
        <v>29032230</v>
      </c>
      <c r="L810" s="3">
        <v>22354820</v>
      </c>
      <c r="M810" s="3">
        <f t="shared" si="50"/>
        <v>6677410</v>
      </c>
      <c r="O810" t="s">
        <v>107</v>
      </c>
      <c r="P810" t="s">
        <v>11</v>
      </c>
      <c r="Q810" t="str">
        <f t="shared" si="51"/>
        <v>Kid</v>
      </c>
    </row>
    <row r="811" spans="1:17" x14ac:dyDescent="0.3">
      <c r="A811" t="s">
        <v>313</v>
      </c>
      <c r="B811">
        <v>2024</v>
      </c>
      <c r="C811" s="5" t="s">
        <v>309</v>
      </c>
      <c r="D811" t="s">
        <v>148</v>
      </c>
      <c r="E811" s="4">
        <v>6</v>
      </c>
      <c r="F811" t="str">
        <f t="shared" si="48"/>
        <v>Don't Watch</v>
      </c>
      <c r="G811" t="str">
        <f t="shared" si="49"/>
        <v>Avg</v>
      </c>
      <c r="H811" t="str" cm="1">
        <f t="array" ref="H811">_xlfn.IFS(E811&gt;8,"Best",E811=7,"Good",E811&gt;7,"Good",E811&lt;7,"Avg",E811&lt;6,"Below Avg")</f>
        <v>Avg</v>
      </c>
      <c r="I811">
        <v>159</v>
      </c>
      <c r="K811" s="3">
        <v>42048295</v>
      </c>
      <c r="L811" s="3">
        <v>11787146</v>
      </c>
      <c r="M811" s="3">
        <f t="shared" si="50"/>
        <v>30261149</v>
      </c>
      <c r="N811" t="s">
        <v>314</v>
      </c>
      <c r="O811" t="s">
        <v>315</v>
      </c>
      <c r="P811" t="s">
        <v>4</v>
      </c>
      <c r="Q811" t="str">
        <f t="shared" si="51"/>
        <v>Adult</v>
      </c>
    </row>
    <row r="812" spans="1:17" x14ac:dyDescent="0.3">
      <c r="A812" t="s">
        <v>323</v>
      </c>
      <c r="B812">
        <v>2024</v>
      </c>
      <c r="C812" s="5" t="s">
        <v>309</v>
      </c>
      <c r="D812" t="s">
        <v>35</v>
      </c>
      <c r="E812" s="4">
        <v>6.1</v>
      </c>
      <c r="F812" t="str">
        <f t="shared" si="48"/>
        <v>Don't Watch</v>
      </c>
      <c r="G812" t="str">
        <f t="shared" si="49"/>
        <v>Avg</v>
      </c>
      <c r="H812" t="str" cm="1">
        <f t="array" ref="H812">_xlfn.IFS(E812&gt;8,"Best",E812=7,"Good",E812&gt;7,"Good",E812&lt;7,"Avg",E812&lt;6,"Below Avg")</f>
        <v>Avg</v>
      </c>
      <c r="I812">
        <v>103</v>
      </c>
      <c r="K812" s="3">
        <v>30542079</v>
      </c>
      <c r="L812" s="3">
        <v>23361386</v>
      </c>
      <c r="M812" s="3">
        <f t="shared" si="50"/>
        <v>7180693</v>
      </c>
      <c r="N812" t="s">
        <v>324</v>
      </c>
      <c r="O812" t="s">
        <v>325</v>
      </c>
      <c r="P812" t="s">
        <v>11</v>
      </c>
      <c r="Q812" t="str">
        <f t="shared" si="51"/>
        <v>Kid</v>
      </c>
    </row>
    <row r="813" spans="1:17" x14ac:dyDescent="0.3">
      <c r="A813" t="s">
        <v>326</v>
      </c>
      <c r="B813">
        <v>2024</v>
      </c>
      <c r="C813" s="5" t="s">
        <v>309</v>
      </c>
      <c r="D813" t="s">
        <v>8</v>
      </c>
      <c r="E813" s="4">
        <v>7.9</v>
      </c>
      <c r="F813" t="str">
        <f t="shared" si="48"/>
        <v>Watch</v>
      </c>
      <c r="G813" t="str">
        <f t="shared" si="49"/>
        <v>Good</v>
      </c>
      <c r="H813" t="str" cm="1">
        <f t="array" ref="H813">_xlfn.IFS(E813&gt;8,"Best",E813=7,"Good",E813&gt;7,"Good",E813&lt;7,"Avg",E813&lt;6,"Below Avg")</f>
        <v>Good</v>
      </c>
      <c r="I813">
        <v>142</v>
      </c>
      <c r="K813" s="3">
        <v>34671666</v>
      </c>
      <c r="L813" s="3">
        <v>26114444</v>
      </c>
      <c r="M813" s="3">
        <f t="shared" si="50"/>
        <v>8557222</v>
      </c>
      <c r="N813" t="s">
        <v>327</v>
      </c>
      <c r="O813" t="s">
        <v>243</v>
      </c>
      <c r="P813" t="s">
        <v>11</v>
      </c>
      <c r="Q813" t="str">
        <f t="shared" si="51"/>
        <v>Kid</v>
      </c>
    </row>
    <row r="814" spans="1:17" x14ac:dyDescent="0.3">
      <c r="A814" t="s">
        <v>348</v>
      </c>
      <c r="B814">
        <v>2024</v>
      </c>
      <c r="C814" s="5" t="s">
        <v>309</v>
      </c>
      <c r="D814" t="s">
        <v>85</v>
      </c>
      <c r="E814" s="4">
        <v>7.3</v>
      </c>
      <c r="F814" t="str">
        <f t="shared" si="48"/>
        <v>Watch</v>
      </c>
      <c r="G814" t="str">
        <f t="shared" si="49"/>
        <v>Good</v>
      </c>
      <c r="H814" t="str" cm="1">
        <f t="array" ref="H814">_xlfn.IFS(E814&gt;8,"Best",E814=7,"Good",E814&gt;7,"Good",E814&lt;7,"Avg",E814&lt;6,"Below Avg")</f>
        <v>Good</v>
      </c>
      <c r="I814">
        <v>127</v>
      </c>
      <c r="K814" s="3">
        <v>43953660</v>
      </c>
      <c r="L814" s="3">
        <v>12210408</v>
      </c>
      <c r="M814" s="3">
        <f t="shared" si="50"/>
        <v>31743252</v>
      </c>
      <c r="O814" t="s">
        <v>67</v>
      </c>
      <c r="P814" t="s">
        <v>4</v>
      </c>
      <c r="Q814" t="str">
        <f t="shared" si="51"/>
        <v>Adult</v>
      </c>
    </row>
    <row r="815" spans="1:17" x14ac:dyDescent="0.3">
      <c r="A815" t="s">
        <v>351</v>
      </c>
      <c r="B815">
        <v>2024</v>
      </c>
      <c r="C815" s="5" t="s">
        <v>309</v>
      </c>
      <c r="D815" t="s">
        <v>27</v>
      </c>
      <c r="E815" s="4">
        <v>8.5</v>
      </c>
      <c r="F815" t="str">
        <f t="shared" si="48"/>
        <v>Watch</v>
      </c>
      <c r="G815" t="str">
        <f t="shared" si="49"/>
        <v>Good</v>
      </c>
      <c r="H815" t="str" cm="1">
        <f t="array" ref="H815">_xlfn.IFS(E815&gt;8,"Best",E815=7,"Good",E815&gt;7,"Good",E815&lt;7,"Avg",E815&lt;6,"Below Avg")</f>
        <v>Best</v>
      </c>
      <c r="I815">
        <v>142</v>
      </c>
      <c r="K815" s="3">
        <v>31172016</v>
      </c>
      <c r="L815" s="3">
        <v>23781344</v>
      </c>
      <c r="M815" s="3">
        <f t="shared" si="50"/>
        <v>7390672</v>
      </c>
      <c r="O815" t="s">
        <v>352</v>
      </c>
      <c r="P815" t="s">
        <v>11</v>
      </c>
      <c r="Q815" t="str">
        <f t="shared" si="51"/>
        <v>Kid</v>
      </c>
    </row>
    <row r="816" spans="1:17" x14ac:dyDescent="0.3">
      <c r="A816" t="s">
        <v>366</v>
      </c>
      <c r="B816">
        <v>2024</v>
      </c>
      <c r="C816" s="5" t="s">
        <v>309</v>
      </c>
      <c r="D816" t="s">
        <v>8</v>
      </c>
      <c r="E816" s="4">
        <v>8.1999999999999993</v>
      </c>
      <c r="F816" t="str">
        <f t="shared" si="48"/>
        <v>Watch</v>
      </c>
      <c r="G816" t="str">
        <f t="shared" si="49"/>
        <v>Good</v>
      </c>
      <c r="H816" t="str" cm="1">
        <f t="array" ref="H816">_xlfn.IFS(E816&gt;8,"Best",E816=7,"Good",E816&gt;7,"Good",E816&lt;7,"Avg",E816&lt;6,"Below Avg")</f>
        <v>Best</v>
      </c>
      <c r="I816">
        <v>121</v>
      </c>
      <c r="K816" s="3">
        <v>34351698</v>
      </c>
      <c r="L816" s="3">
        <v>25901132</v>
      </c>
      <c r="M816" s="3">
        <f t="shared" si="50"/>
        <v>8450566</v>
      </c>
      <c r="O816" t="s">
        <v>44</v>
      </c>
      <c r="P816" t="s">
        <v>11</v>
      </c>
      <c r="Q816" t="str">
        <f t="shared" si="51"/>
        <v>Kid</v>
      </c>
    </row>
    <row r="817" spans="1:17" x14ac:dyDescent="0.3">
      <c r="A817" t="s">
        <v>367</v>
      </c>
      <c r="B817">
        <v>2024</v>
      </c>
      <c r="C817" s="5" t="s">
        <v>309</v>
      </c>
      <c r="D817" t="s">
        <v>8</v>
      </c>
      <c r="E817" s="4">
        <v>7.3</v>
      </c>
      <c r="F817" t="str">
        <f t="shared" si="48"/>
        <v>Watch</v>
      </c>
      <c r="G817" t="str">
        <f t="shared" si="49"/>
        <v>Good</v>
      </c>
      <c r="H817" t="str" cm="1">
        <f t="array" ref="H817">_xlfn.IFS(E817&gt;8,"Best",E817=7,"Good",E817&gt;7,"Good",E817&lt;7,"Avg",E817&lt;6,"Below Avg")</f>
        <v>Good</v>
      </c>
      <c r="I817">
        <v>145</v>
      </c>
      <c r="K817" s="3">
        <v>31681965</v>
      </c>
      <c r="L817" s="3">
        <v>24121310</v>
      </c>
      <c r="M817" s="3">
        <f t="shared" si="50"/>
        <v>7560655</v>
      </c>
      <c r="N817" t="s">
        <v>368</v>
      </c>
      <c r="O817" t="s">
        <v>369</v>
      </c>
      <c r="P817" t="s">
        <v>11</v>
      </c>
      <c r="Q817" t="str">
        <f t="shared" si="51"/>
        <v>Kid</v>
      </c>
    </row>
    <row r="818" spans="1:17" x14ac:dyDescent="0.3">
      <c r="A818" t="s">
        <v>310</v>
      </c>
      <c r="B818">
        <v>2024</v>
      </c>
      <c r="C818" s="5" t="s">
        <v>309</v>
      </c>
      <c r="D818" t="s">
        <v>27</v>
      </c>
      <c r="E818" s="4">
        <v>9.1</v>
      </c>
      <c r="F818" t="str">
        <f t="shared" si="48"/>
        <v>Watch</v>
      </c>
      <c r="G818" t="str">
        <f t="shared" si="49"/>
        <v>Best</v>
      </c>
      <c r="H818" t="str" cm="1">
        <f t="array" ref="H818">_xlfn.IFS(E818&gt;8,"Best",E818=7,"Good",E818&gt;7,"Good",E818&lt;7,"Avg",E818&lt;6,"Below Avg")</f>
        <v>Best</v>
      </c>
      <c r="I818">
        <v>112</v>
      </c>
      <c r="K818" s="3">
        <v>32071926</v>
      </c>
      <c r="L818" s="3">
        <v>24381284</v>
      </c>
      <c r="M818" s="3">
        <f t="shared" si="50"/>
        <v>7690642</v>
      </c>
      <c r="N818" t="s">
        <v>311</v>
      </c>
      <c r="O818" t="s">
        <v>312</v>
      </c>
      <c r="P818" t="s">
        <v>11</v>
      </c>
      <c r="Q818" t="str">
        <f t="shared" si="51"/>
        <v>Kid</v>
      </c>
    </row>
    <row r="819" spans="1:17" x14ac:dyDescent="0.3">
      <c r="A819" t="s">
        <v>316</v>
      </c>
      <c r="B819">
        <v>2024</v>
      </c>
      <c r="C819" s="5" t="s">
        <v>309</v>
      </c>
      <c r="D819" t="s">
        <v>127</v>
      </c>
      <c r="E819" s="4">
        <v>6.8</v>
      </c>
      <c r="F819" t="str">
        <f t="shared" si="48"/>
        <v>Watch</v>
      </c>
      <c r="G819" t="str">
        <f t="shared" si="49"/>
        <v>Avg</v>
      </c>
      <c r="H819" t="str" cm="1">
        <f t="array" ref="H819">_xlfn.IFS(E819&gt;8,"Best",E819=7,"Good",E819&gt;7,"Good",E819&lt;7,"Avg",E819&lt;6,"Below Avg")</f>
        <v>Avg</v>
      </c>
      <c r="I819">
        <v>143</v>
      </c>
      <c r="K819" s="3">
        <v>27925674</v>
      </c>
      <c r="L819" s="3">
        <v>21617116</v>
      </c>
      <c r="M819" s="3">
        <f t="shared" si="50"/>
        <v>6308558</v>
      </c>
      <c r="O819" t="s">
        <v>317</v>
      </c>
      <c r="P819" t="s">
        <v>11</v>
      </c>
      <c r="Q819" t="str">
        <f t="shared" si="51"/>
        <v>Kid</v>
      </c>
    </row>
    <row r="820" spans="1:17" x14ac:dyDescent="0.3">
      <c r="A820" t="s">
        <v>318</v>
      </c>
      <c r="B820">
        <v>2024</v>
      </c>
      <c r="C820" s="5" t="s">
        <v>309</v>
      </c>
      <c r="D820" t="s">
        <v>8</v>
      </c>
      <c r="E820" s="4">
        <v>9</v>
      </c>
      <c r="F820" t="str">
        <f t="shared" si="48"/>
        <v>Watch</v>
      </c>
      <c r="G820" t="str">
        <f t="shared" si="49"/>
        <v>Best</v>
      </c>
      <c r="H820" t="str" cm="1">
        <f t="array" ref="H820">_xlfn.IFS(E820&gt;8,"Best",E820=7,"Good",E820&gt;7,"Good",E820&lt;7,"Avg",E820&lt;6,"Below Avg")</f>
        <v>Best</v>
      </c>
      <c r="I820">
        <v>132</v>
      </c>
      <c r="K820" s="3">
        <v>27889011</v>
      </c>
      <c r="L820" s="3">
        <v>21592674</v>
      </c>
      <c r="M820" s="3">
        <f t="shared" si="50"/>
        <v>6296337</v>
      </c>
      <c r="N820" t="s">
        <v>319</v>
      </c>
      <c r="O820" t="s">
        <v>320</v>
      </c>
      <c r="P820" t="s">
        <v>11</v>
      </c>
      <c r="Q820" t="str">
        <f t="shared" si="51"/>
        <v>Kid</v>
      </c>
    </row>
    <row r="821" spans="1:17" x14ac:dyDescent="0.3">
      <c r="A821" t="s">
        <v>321</v>
      </c>
      <c r="B821">
        <v>2024</v>
      </c>
      <c r="C821" s="5" t="s">
        <v>309</v>
      </c>
      <c r="D821" t="s">
        <v>8</v>
      </c>
      <c r="E821" s="4">
        <v>8</v>
      </c>
      <c r="F821" t="str">
        <f t="shared" si="48"/>
        <v>Watch</v>
      </c>
      <c r="G821" t="str">
        <f t="shared" si="49"/>
        <v>Good</v>
      </c>
      <c r="H821" t="str" cm="1">
        <f t="array" ref="H821">_xlfn.IFS(E821&gt;8,"Best",E821=7,"Good",E821&gt;7,"Good",E821&lt;7,"Avg",E821&lt;6,"Below Avg")</f>
        <v>Good</v>
      </c>
      <c r="I821">
        <v>158</v>
      </c>
      <c r="K821" s="3">
        <v>29725494</v>
      </c>
      <c r="L821" s="3">
        <v>22816996</v>
      </c>
      <c r="M821" s="3">
        <f t="shared" si="50"/>
        <v>6908498</v>
      </c>
      <c r="N821" t="s">
        <v>322</v>
      </c>
      <c r="O821" t="s">
        <v>112</v>
      </c>
      <c r="P821" t="s">
        <v>11</v>
      </c>
      <c r="Q821" t="str">
        <f t="shared" si="51"/>
        <v>Kid</v>
      </c>
    </row>
    <row r="822" spans="1:17" x14ac:dyDescent="0.3">
      <c r="A822" t="s">
        <v>328</v>
      </c>
      <c r="B822">
        <v>2024</v>
      </c>
      <c r="C822" s="5" t="s">
        <v>309</v>
      </c>
      <c r="D822" t="s">
        <v>8</v>
      </c>
      <c r="E822" s="4">
        <v>7.1</v>
      </c>
      <c r="F822" t="str">
        <f t="shared" si="48"/>
        <v>Watch</v>
      </c>
      <c r="G822" t="str">
        <f t="shared" si="49"/>
        <v>Good</v>
      </c>
      <c r="H822" t="str" cm="1">
        <f t="array" ref="H822">_xlfn.IFS(E822&gt;8,"Best",E822=7,"Good",E822&gt;7,"Good",E822&lt;7,"Avg",E822&lt;6,"Below Avg")</f>
        <v>Good</v>
      </c>
      <c r="I822">
        <v>140</v>
      </c>
      <c r="K822" s="3">
        <v>27165750</v>
      </c>
      <c r="L822" s="3">
        <v>21110500</v>
      </c>
      <c r="M822" s="3">
        <f t="shared" si="50"/>
        <v>6055250</v>
      </c>
      <c r="O822" t="s">
        <v>329</v>
      </c>
      <c r="P822" t="s">
        <v>11</v>
      </c>
      <c r="Q822" t="str">
        <f t="shared" si="51"/>
        <v>Kid</v>
      </c>
    </row>
    <row r="823" spans="1:17" x14ac:dyDescent="0.3">
      <c r="A823" t="s">
        <v>330</v>
      </c>
      <c r="B823">
        <v>2024</v>
      </c>
      <c r="C823" s="5" t="s">
        <v>309</v>
      </c>
      <c r="D823" t="s">
        <v>8</v>
      </c>
      <c r="E823" s="4">
        <v>6.6</v>
      </c>
      <c r="F823" t="str">
        <f t="shared" si="48"/>
        <v>Watch</v>
      </c>
      <c r="G823" t="str">
        <f t="shared" si="49"/>
        <v>Avg</v>
      </c>
      <c r="H823" t="str" cm="1">
        <f t="array" ref="H823">_xlfn.IFS(E823&gt;8,"Best",E823=7,"Good",E823&gt;7,"Good",E823&lt;7,"Avg",E823&lt;6,"Below Avg")</f>
        <v>Avg</v>
      </c>
      <c r="I823">
        <v>153</v>
      </c>
      <c r="K823" s="3">
        <v>32208579</v>
      </c>
      <c r="L823" s="3">
        <v>24472386</v>
      </c>
      <c r="M823" s="3">
        <f t="shared" si="50"/>
        <v>7736193</v>
      </c>
      <c r="N823" t="s">
        <v>331</v>
      </c>
      <c r="O823" t="s">
        <v>332</v>
      </c>
      <c r="P823" t="s">
        <v>11</v>
      </c>
      <c r="Q823" t="str">
        <f t="shared" si="51"/>
        <v>Kid</v>
      </c>
    </row>
    <row r="824" spans="1:17" x14ac:dyDescent="0.3">
      <c r="A824" t="s">
        <v>333</v>
      </c>
      <c r="B824">
        <v>2024</v>
      </c>
      <c r="C824" s="5" t="s">
        <v>309</v>
      </c>
      <c r="D824" t="s">
        <v>85</v>
      </c>
      <c r="E824" s="4">
        <v>8.3000000000000007</v>
      </c>
      <c r="F824" t="str">
        <f t="shared" si="48"/>
        <v>Watch</v>
      </c>
      <c r="G824" t="str">
        <f t="shared" si="49"/>
        <v>Good</v>
      </c>
      <c r="H824" t="str" cm="1">
        <f t="array" ref="H824">_xlfn.IFS(E824&gt;8,"Best",E824=7,"Good",E824&gt;7,"Good",E824&lt;7,"Avg",E824&lt;6,"Below Avg")</f>
        <v>Best</v>
      </c>
      <c r="I824">
        <v>137</v>
      </c>
      <c r="K824" s="3">
        <v>44009210</v>
      </c>
      <c r="L824" s="3">
        <v>12222748</v>
      </c>
      <c r="M824" s="3">
        <f t="shared" si="50"/>
        <v>31786462</v>
      </c>
      <c r="N824" t="s">
        <v>334</v>
      </c>
      <c r="O824" t="s">
        <v>14</v>
      </c>
      <c r="P824" t="s">
        <v>4</v>
      </c>
      <c r="Q824" t="str">
        <f t="shared" si="51"/>
        <v>Adult</v>
      </c>
    </row>
    <row r="825" spans="1:17" x14ac:dyDescent="0.3">
      <c r="A825" t="s">
        <v>335</v>
      </c>
      <c r="B825">
        <v>2024</v>
      </c>
      <c r="C825" s="5" t="s">
        <v>309</v>
      </c>
      <c r="D825" t="s">
        <v>8</v>
      </c>
      <c r="E825" s="4">
        <v>8.1999999999999993</v>
      </c>
      <c r="F825" t="str">
        <f t="shared" si="48"/>
        <v>Watch</v>
      </c>
      <c r="G825" t="str">
        <f t="shared" si="49"/>
        <v>Good</v>
      </c>
      <c r="H825" t="str" cm="1">
        <f t="array" ref="H825">_xlfn.IFS(E825&gt;8,"Best",E825=7,"Good",E825&gt;7,"Good",E825&lt;7,"Avg",E825&lt;6,"Below Avg")</f>
        <v>Best</v>
      </c>
      <c r="I825">
        <v>145</v>
      </c>
      <c r="K825" s="3">
        <v>31931940</v>
      </c>
      <c r="L825" s="3">
        <v>24287960</v>
      </c>
      <c r="M825" s="3">
        <f t="shared" si="50"/>
        <v>7643980</v>
      </c>
      <c r="N825" t="s">
        <v>16</v>
      </c>
      <c r="O825" t="s">
        <v>336</v>
      </c>
      <c r="P825" t="s">
        <v>11</v>
      </c>
      <c r="Q825" t="str">
        <f t="shared" si="51"/>
        <v>Kid</v>
      </c>
    </row>
    <row r="826" spans="1:17" x14ac:dyDescent="0.3">
      <c r="A826" t="s">
        <v>337</v>
      </c>
      <c r="B826">
        <v>2024</v>
      </c>
      <c r="C826" s="5" t="s">
        <v>309</v>
      </c>
      <c r="D826" t="s">
        <v>304</v>
      </c>
      <c r="E826" s="4">
        <v>8.6</v>
      </c>
      <c r="F826" t="str">
        <f t="shared" si="48"/>
        <v>Watch</v>
      </c>
      <c r="G826" t="str">
        <f t="shared" si="49"/>
        <v>Best</v>
      </c>
      <c r="H826" t="str" cm="1">
        <f t="array" ref="H826">_xlfn.IFS(E826&gt;8,"Best",E826=7,"Good",E826&gt;7,"Good",E826&lt;7,"Avg",E826&lt;6,"Below Avg")</f>
        <v>Best</v>
      </c>
      <c r="I826">
        <v>101</v>
      </c>
      <c r="K826" s="3">
        <v>28535613</v>
      </c>
      <c r="L826" s="3">
        <v>22023742</v>
      </c>
      <c r="M826" s="3">
        <f t="shared" si="50"/>
        <v>6511871</v>
      </c>
      <c r="N826" t="s">
        <v>338</v>
      </c>
      <c r="O826" t="s">
        <v>339</v>
      </c>
      <c r="P826" t="s">
        <v>11</v>
      </c>
      <c r="Q826" t="str">
        <f t="shared" si="51"/>
        <v>Kid</v>
      </c>
    </row>
    <row r="827" spans="1:17" x14ac:dyDescent="0.3">
      <c r="A827" t="s">
        <v>340</v>
      </c>
      <c r="B827">
        <v>2024</v>
      </c>
      <c r="C827" s="5" t="s">
        <v>309</v>
      </c>
      <c r="D827" t="s">
        <v>93</v>
      </c>
      <c r="E827" s="4">
        <v>7.7</v>
      </c>
      <c r="F827" t="str">
        <f t="shared" si="48"/>
        <v>Watch</v>
      </c>
      <c r="G827" t="str">
        <f t="shared" si="49"/>
        <v>Good</v>
      </c>
      <c r="H827" t="str" cm="1">
        <f t="array" ref="H827">_xlfn.IFS(E827&gt;8,"Best",E827=7,"Good",E827&gt;7,"Good",E827&lt;7,"Avg",E827&lt;6,"Below Avg")</f>
        <v>Good</v>
      </c>
      <c r="I827">
        <v>161</v>
      </c>
      <c r="K827" s="3">
        <v>30485418</v>
      </c>
      <c r="L827" s="3">
        <v>23323612</v>
      </c>
      <c r="M827" s="3">
        <f t="shared" si="50"/>
        <v>7161806</v>
      </c>
      <c r="N827" t="s">
        <v>341</v>
      </c>
      <c r="O827" t="s">
        <v>342</v>
      </c>
      <c r="P827" t="s">
        <v>11</v>
      </c>
      <c r="Q827" t="str">
        <f t="shared" si="51"/>
        <v>Kid</v>
      </c>
    </row>
    <row r="828" spans="1:17" x14ac:dyDescent="0.3">
      <c r="A828" t="s">
        <v>343</v>
      </c>
      <c r="B828">
        <v>2024</v>
      </c>
      <c r="C828" s="5" t="s">
        <v>309</v>
      </c>
      <c r="D828" t="s">
        <v>8</v>
      </c>
      <c r="E828" s="4">
        <v>8.6</v>
      </c>
      <c r="F828" t="str">
        <f t="shared" si="48"/>
        <v>Watch</v>
      </c>
      <c r="G828" t="str">
        <f t="shared" si="49"/>
        <v>Best</v>
      </c>
      <c r="H828" t="str" cm="1">
        <f t="array" ref="H828">_xlfn.IFS(E828&gt;8,"Best",E828=7,"Good",E828&gt;7,"Good",E828&lt;7,"Avg",E828&lt;6,"Below Avg")</f>
        <v>Best</v>
      </c>
      <c r="I828">
        <v>116</v>
      </c>
      <c r="K828" s="3">
        <v>26335833</v>
      </c>
      <c r="L828" s="3">
        <v>20557222</v>
      </c>
      <c r="M828" s="3">
        <f t="shared" si="50"/>
        <v>5778611</v>
      </c>
      <c r="N828" t="s">
        <v>344</v>
      </c>
      <c r="O828" t="s">
        <v>345</v>
      </c>
      <c r="P828" t="s">
        <v>11</v>
      </c>
      <c r="Q828" t="str">
        <f t="shared" si="51"/>
        <v>Kid</v>
      </c>
    </row>
    <row r="829" spans="1:17" x14ac:dyDescent="0.3">
      <c r="A829" t="s">
        <v>346</v>
      </c>
      <c r="B829">
        <v>2024</v>
      </c>
      <c r="C829" s="5" t="s">
        <v>309</v>
      </c>
      <c r="D829" t="s">
        <v>39</v>
      </c>
      <c r="E829" s="4">
        <v>7</v>
      </c>
      <c r="F829" t="str">
        <f t="shared" si="48"/>
        <v>Watch</v>
      </c>
      <c r="G829" t="str">
        <f t="shared" si="49"/>
        <v>Avg</v>
      </c>
      <c r="H829" t="str" cm="1">
        <f t="array" ref="H829">_xlfn.IFS(E829&gt;8,"Best",E829=7,"Good",E829&gt;7,"Good",E829&lt;7,"Avg",E829&lt;6,"Below Avg")</f>
        <v>Good</v>
      </c>
      <c r="I829">
        <v>94</v>
      </c>
      <c r="K829" s="3">
        <v>31012032</v>
      </c>
      <c r="L829" s="3">
        <v>23674688</v>
      </c>
      <c r="M829" s="3">
        <f t="shared" si="50"/>
        <v>7337344</v>
      </c>
      <c r="O829" t="s">
        <v>347</v>
      </c>
      <c r="P829" t="s">
        <v>11</v>
      </c>
      <c r="Q829" t="str">
        <f t="shared" si="51"/>
        <v>Kid</v>
      </c>
    </row>
    <row r="830" spans="1:17" x14ac:dyDescent="0.3">
      <c r="A830" t="s">
        <v>349</v>
      </c>
      <c r="B830">
        <v>2024</v>
      </c>
      <c r="C830" s="5" t="s">
        <v>309</v>
      </c>
      <c r="D830" t="s">
        <v>8</v>
      </c>
      <c r="E830" s="4">
        <v>7</v>
      </c>
      <c r="F830" t="str">
        <f t="shared" si="48"/>
        <v>Watch</v>
      </c>
      <c r="G830" t="str">
        <f t="shared" si="49"/>
        <v>Avg</v>
      </c>
      <c r="H830" t="str" cm="1">
        <f t="array" ref="H830">_xlfn.IFS(E830&gt;8,"Best",E830=7,"Good",E830&gt;7,"Good",E830&lt;7,"Avg",E830&lt;6,"Below Avg")</f>
        <v>Good</v>
      </c>
      <c r="I830">
        <v>112</v>
      </c>
      <c r="K830" s="3">
        <v>27822351</v>
      </c>
      <c r="L830" s="3">
        <v>21548234</v>
      </c>
      <c r="M830" s="3">
        <f t="shared" si="50"/>
        <v>6274117</v>
      </c>
      <c r="O830" t="s">
        <v>350</v>
      </c>
      <c r="P830" t="s">
        <v>11</v>
      </c>
      <c r="Q830" t="str">
        <f t="shared" si="51"/>
        <v>Kid</v>
      </c>
    </row>
    <row r="831" spans="1:17" x14ac:dyDescent="0.3">
      <c r="A831" t="s">
        <v>353</v>
      </c>
      <c r="B831">
        <v>2024</v>
      </c>
      <c r="C831" s="5" t="s">
        <v>309</v>
      </c>
      <c r="D831" t="s">
        <v>354</v>
      </c>
      <c r="E831" s="4">
        <v>8.4</v>
      </c>
      <c r="F831" t="str">
        <f t="shared" si="48"/>
        <v>Watch</v>
      </c>
      <c r="G831" t="str">
        <f t="shared" si="49"/>
        <v>Good</v>
      </c>
      <c r="H831" t="str" cm="1">
        <f t="array" ref="H831">_xlfn.IFS(E831&gt;8,"Best",E831=7,"Good",E831&gt;7,"Good",E831&lt;7,"Avg",E831&lt;6,"Below Avg")</f>
        <v>Best</v>
      </c>
      <c r="I831">
        <v>102</v>
      </c>
      <c r="K831" s="3">
        <v>30288771</v>
      </c>
      <c r="L831" s="3">
        <v>23192514</v>
      </c>
      <c r="M831" s="3">
        <f t="shared" si="50"/>
        <v>7096257</v>
      </c>
      <c r="N831" t="s">
        <v>355</v>
      </c>
      <c r="O831" t="s">
        <v>356</v>
      </c>
      <c r="P831" t="s">
        <v>11</v>
      </c>
      <c r="Q831" t="str">
        <f t="shared" si="51"/>
        <v>Kid</v>
      </c>
    </row>
    <row r="832" spans="1:17" x14ac:dyDescent="0.3">
      <c r="A832" t="s">
        <v>357</v>
      </c>
      <c r="B832">
        <v>2024</v>
      </c>
      <c r="C832" s="5" t="s">
        <v>309</v>
      </c>
      <c r="D832" t="s">
        <v>232</v>
      </c>
      <c r="E832" s="4">
        <v>7.7</v>
      </c>
      <c r="F832" t="str">
        <f t="shared" si="48"/>
        <v>Watch</v>
      </c>
      <c r="G832" t="str">
        <f t="shared" si="49"/>
        <v>Good</v>
      </c>
      <c r="H832" t="str" cm="1">
        <f t="array" ref="H832">_xlfn.IFS(E832&gt;8,"Best",E832=7,"Good",E832&gt;7,"Good",E832&lt;7,"Avg",E832&lt;6,"Below Avg")</f>
        <v>Good</v>
      </c>
      <c r="I832">
        <v>140</v>
      </c>
      <c r="K832" s="3">
        <v>26415825</v>
      </c>
      <c r="L832" s="3">
        <v>20610550</v>
      </c>
      <c r="M832" s="3">
        <f t="shared" si="50"/>
        <v>5805275</v>
      </c>
      <c r="N832" t="s">
        <v>358</v>
      </c>
      <c r="O832" t="s">
        <v>359</v>
      </c>
      <c r="P832" t="s">
        <v>11</v>
      </c>
      <c r="Q832" t="str">
        <f t="shared" si="51"/>
        <v>Kid</v>
      </c>
    </row>
    <row r="833" spans="1:17" x14ac:dyDescent="0.3">
      <c r="A833" t="s">
        <v>360</v>
      </c>
      <c r="B833">
        <v>2024</v>
      </c>
      <c r="C833" s="5" t="s">
        <v>309</v>
      </c>
      <c r="D833" t="s">
        <v>93</v>
      </c>
      <c r="E833" s="4">
        <v>8.6</v>
      </c>
      <c r="F833" t="str">
        <f t="shared" si="48"/>
        <v>Watch</v>
      </c>
      <c r="G833" t="str">
        <f t="shared" si="49"/>
        <v>Best</v>
      </c>
      <c r="H833" t="str" cm="1">
        <f t="array" ref="H833">_xlfn.IFS(E833&gt;8,"Best",E833=7,"Good",E833&gt;7,"Good",E833&lt;7,"Avg",E833&lt;6,"Below Avg")</f>
        <v>Best</v>
      </c>
      <c r="I833">
        <v>98</v>
      </c>
      <c r="K833" s="3">
        <v>26775789</v>
      </c>
      <c r="L833" s="3">
        <v>20850526</v>
      </c>
      <c r="M833" s="3">
        <f t="shared" si="50"/>
        <v>5925263</v>
      </c>
      <c r="O833" t="s">
        <v>361</v>
      </c>
      <c r="P833" t="s">
        <v>11</v>
      </c>
      <c r="Q833" t="str">
        <f t="shared" si="51"/>
        <v>Kid</v>
      </c>
    </row>
    <row r="834" spans="1:17" x14ac:dyDescent="0.3">
      <c r="A834" t="s">
        <v>362</v>
      </c>
      <c r="B834">
        <v>2024</v>
      </c>
      <c r="C834" s="5" t="s">
        <v>309</v>
      </c>
      <c r="D834" t="s">
        <v>8</v>
      </c>
      <c r="E834" s="4">
        <v>8.6999999999999993</v>
      </c>
      <c r="F834" t="str">
        <f t="shared" ref="F834:F897" si="52">IF(E834&gt;6.5,"Watch","Don't Watch")</f>
        <v>Watch</v>
      </c>
      <c r="G834" t="str">
        <f t="shared" ref="G834:G897" si="53">IF(E834&gt;8.5,"Best",IF(E834&gt;7,"Good",IF(E834&gt;5,"Avg",IF(E834&lt;5,"Below Avg",IF(E834&lt;3,"Bad",)))))</f>
        <v>Best</v>
      </c>
      <c r="H834" t="str" cm="1">
        <f t="array" ref="H834">_xlfn.IFS(E834&gt;8,"Best",E834=7,"Good",E834&gt;7,"Good",E834&lt;7,"Avg",E834&lt;6,"Below Avg")</f>
        <v>Best</v>
      </c>
      <c r="I834">
        <v>150</v>
      </c>
      <c r="K834" s="3">
        <v>26449155</v>
      </c>
      <c r="L834" s="3">
        <v>20632770</v>
      </c>
      <c r="M834" s="3">
        <f t="shared" ref="M834:M897" si="54" xml:space="preserve"> (K834-L834)</f>
        <v>5816385</v>
      </c>
      <c r="O834" t="s">
        <v>187</v>
      </c>
      <c r="P834" t="s">
        <v>11</v>
      </c>
      <c r="Q834" t="str">
        <f t="shared" ref="Q834:Q897" si="55">IF(P834="R","Adult","Kid")</f>
        <v>Kid</v>
      </c>
    </row>
    <row r="835" spans="1:17" x14ac:dyDescent="0.3">
      <c r="A835" t="s">
        <v>363</v>
      </c>
      <c r="B835">
        <v>2024</v>
      </c>
      <c r="C835" s="5" t="s">
        <v>309</v>
      </c>
      <c r="D835" t="s">
        <v>8</v>
      </c>
      <c r="E835" s="4">
        <v>7.2</v>
      </c>
      <c r="F835" t="str">
        <f t="shared" si="52"/>
        <v>Watch</v>
      </c>
      <c r="G835" t="str">
        <f t="shared" si="53"/>
        <v>Good</v>
      </c>
      <c r="H835" t="str" cm="1">
        <f t="array" ref="H835">_xlfn.IFS(E835&gt;8,"Best",E835=7,"Good",E835&gt;7,"Good",E835&lt;7,"Avg",E835&lt;6,"Below Avg")</f>
        <v>Good</v>
      </c>
      <c r="I835">
        <v>114</v>
      </c>
      <c r="K835" s="3">
        <v>27829017</v>
      </c>
      <c r="L835" s="3">
        <v>21552678</v>
      </c>
      <c r="M835" s="3">
        <f t="shared" si="54"/>
        <v>6276339</v>
      </c>
      <c r="N835" t="s">
        <v>364</v>
      </c>
      <c r="O835" t="s">
        <v>365</v>
      </c>
      <c r="P835" t="s">
        <v>11</v>
      </c>
      <c r="Q835" t="str">
        <f t="shared" si="55"/>
        <v>Kid</v>
      </c>
    </row>
    <row r="836" spans="1:17" x14ac:dyDescent="0.3">
      <c r="A836" t="s">
        <v>370</v>
      </c>
      <c r="B836">
        <v>2024</v>
      </c>
      <c r="C836" s="5" t="s">
        <v>309</v>
      </c>
      <c r="D836" t="s">
        <v>8</v>
      </c>
      <c r="E836" s="4">
        <v>7.7</v>
      </c>
      <c r="F836" t="str">
        <f t="shared" si="52"/>
        <v>Watch</v>
      </c>
      <c r="G836" t="str">
        <f t="shared" si="53"/>
        <v>Good</v>
      </c>
      <c r="H836" t="str" cm="1">
        <f t="array" ref="H836">_xlfn.IFS(E836&gt;8,"Best",E836=7,"Good",E836&gt;7,"Good",E836&lt;7,"Avg",E836&lt;6,"Below Avg")</f>
        <v>Good</v>
      </c>
      <c r="I836">
        <v>116</v>
      </c>
      <c r="K836" s="3">
        <v>26085858</v>
      </c>
      <c r="L836" s="3">
        <v>20390572</v>
      </c>
      <c r="M836" s="3">
        <f t="shared" si="54"/>
        <v>5695286</v>
      </c>
      <c r="N836" t="s">
        <v>371</v>
      </c>
      <c r="O836" t="s">
        <v>372</v>
      </c>
      <c r="P836" t="s">
        <v>11</v>
      </c>
      <c r="Q836" t="str">
        <f t="shared" si="55"/>
        <v>Kid</v>
      </c>
    </row>
    <row r="837" spans="1:17" x14ac:dyDescent="0.3">
      <c r="A837" t="s">
        <v>373</v>
      </c>
      <c r="B837">
        <v>2024</v>
      </c>
      <c r="C837" s="5" t="s">
        <v>309</v>
      </c>
      <c r="D837" t="s">
        <v>39</v>
      </c>
      <c r="E837" s="4">
        <v>6.9</v>
      </c>
      <c r="F837" t="str">
        <f t="shared" si="52"/>
        <v>Watch</v>
      </c>
      <c r="G837" t="str">
        <f t="shared" si="53"/>
        <v>Avg</v>
      </c>
      <c r="H837" t="str" cm="1">
        <f t="array" ref="H837">_xlfn.IFS(E837&gt;8,"Best",E837=7,"Good",E837&gt;7,"Good",E837&lt;7,"Avg",E837&lt;6,"Below Avg")</f>
        <v>Avg</v>
      </c>
      <c r="I837">
        <v>117</v>
      </c>
      <c r="K837" s="3">
        <v>31338666</v>
      </c>
      <c r="L837" s="3">
        <v>23892444</v>
      </c>
      <c r="M837" s="3">
        <f t="shared" si="54"/>
        <v>7446222</v>
      </c>
      <c r="N837" t="s">
        <v>374</v>
      </c>
      <c r="O837" t="s">
        <v>375</v>
      </c>
      <c r="P837" t="s">
        <v>11</v>
      </c>
      <c r="Q837" t="str">
        <f t="shared" si="55"/>
        <v>Kid</v>
      </c>
    </row>
    <row r="838" spans="1:17" x14ac:dyDescent="0.3">
      <c r="A838" t="s">
        <v>376</v>
      </c>
      <c r="B838">
        <v>2024</v>
      </c>
      <c r="C838" s="5" t="s">
        <v>309</v>
      </c>
      <c r="D838" t="s">
        <v>35</v>
      </c>
      <c r="E838" s="4">
        <v>7.7</v>
      </c>
      <c r="F838" t="str">
        <f t="shared" si="52"/>
        <v>Watch</v>
      </c>
      <c r="G838" t="str">
        <f t="shared" si="53"/>
        <v>Good</v>
      </c>
      <c r="H838" t="str" cm="1">
        <f t="array" ref="H838">_xlfn.IFS(E838&gt;8,"Best",E838=7,"Good",E838&gt;7,"Good",E838&lt;7,"Avg",E838&lt;6,"Below Avg")</f>
        <v>Good</v>
      </c>
      <c r="I838">
        <v>143</v>
      </c>
      <c r="K838" s="3">
        <v>28175649</v>
      </c>
      <c r="L838" s="3">
        <v>21783766</v>
      </c>
      <c r="M838" s="3">
        <f t="shared" si="54"/>
        <v>6391883</v>
      </c>
      <c r="N838" t="s">
        <v>109</v>
      </c>
      <c r="O838" t="s">
        <v>377</v>
      </c>
      <c r="P838" t="s">
        <v>11</v>
      </c>
      <c r="Q838" t="str">
        <f t="shared" si="55"/>
        <v>Kid</v>
      </c>
    </row>
    <row r="839" spans="1:17" x14ac:dyDescent="0.3">
      <c r="A839" t="s">
        <v>378</v>
      </c>
      <c r="B839">
        <v>2024</v>
      </c>
      <c r="C839" s="5" t="s">
        <v>309</v>
      </c>
      <c r="D839" t="s">
        <v>23</v>
      </c>
      <c r="E839" s="4">
        <v>6.9</v>
      </c>
      <c r="F839" t="str">
        <f t="shared" si="52"/>
        <v>Watch</v>
      </c>
      <c r="G839" t="str">
        <f t="shared" si="53"/>
        <v>Avg</v>
      </c>
      <c r="H839" t="str" cm="1">
        <f t="array" ref="H839">_xlfn.IFS(E839&gt;8,"Best",E839=7,"Good",E839&gt;7,"Good",E839&lt;7,"Avg",E839&lt;6,"Below Avg")</f>
        <v>Avg</v>
      </c>
      <c r="I839">
        <v>162</v>
      </c>
      <c r="K839" s="3">
        <v>27489051</v>
      </c>
      <c r="L839" s="3">
        <v>21326034</v>
      </c>
      <c r="M839" s="3">
        <f t="shared" si="54"/>
        <v>6163017</v>
      </c>
      <c r="N839" t="s">
        <v>379</v>
      </c>
      <c r="O839" t="s">
        <v>380</v>
      </c>
      <c r="P839" t="s">
        <v>11</v>
      </c>
      <c r="Q839" t="str">
        <f t="shared" si="55"/>
        <v>Kid</v>
      </c>
    </row>
    <row r="840" spans="1:17" x14ac:dyDescent="0.3">
      <c r="A840" t="s">
        <v>381</v>
      </c>
      <c r="B840">
        <v>2024</v>
      </c>
      <c r="C840" s="5" t="s">
        <v>309</v>
      </c>
      <c r="D840" t="s">
        <v>39</v>
      </c>
      <c r="E840" s="4">
        <v>6.4</v>
      </c>
      <c r="F840" t="str">
        <f t="shared" si="52"/>
        <v>Don't Watch</v>
      </c>
      <c r="G840" t="str">
        <f t="shared" si="53"/>
        <v>Avg</v>
      </c>
      <c r="H840" t="str" cm="1">
        <f t="array" ref="H840">_xlfn.IFS(E840&gt;8,"Best",E840=7,"Good",E840&gt;7,"Good",E840&lt;7,"Avg",E840&lt;6,"Below Avg")</f>
        <v>Avg</v>
      </c>
      <c r="I840">
        <v>139</v>
      </c>
      <c r="K840" s="3">
        <v>27912342</v>
      </c>
      <c r="L840" s="3">
        <v>21608228</v>
      </c>
      <c r="M840" s="3">
        <f t="shared" si="54"/>
        <v>6304114</v>
      </c>
      <c r="O840" t="s">
        <v>382</v>
      </c>
      <c r="P840" t="s">
        <v>11</v>
      </c>
      <c r="Q840" t="str">
        <f t="shared" si="55"/>
        <v>Kid</v>
      </c>
    </row>
    <row r="841" spans="1:17" x14ac:dyDescent="0.3">
      <c r="A841" t="s">
        <v>383</v>
      </c>
      <c r="B841">
        <v>2024</v>
      </c>
      <c r="C841" s="5" t="s">
        <v>309</v>
      </c>
      <c r="D841" t="s">
        <v>39</v>
      </c>
      <c r="E841" s="4">
        <v>6.3</v>
      </c>
      <c r="F841" t="str">
        <f t="shared" si="52"/>
        <v>Don't Watch</v>
      </c>
      <c r="G841" t="str">
        <f t="shared" si="53"/>
        <v>Avg</v>
      </c>
      <c r="H841" t="str" cm="1">
        <f t="array" ref="H841">_xlfn.IFS(E841&gt;8,"Best",E841=7,"Good",E841&gt;7,"Good",E841&lt;7,"Avg",E841&lt;6,"Below Avg")</f>
        <v>Avg</v>
      </c>
      <c r="I841">
        <v>96</v>
      </c>
      <c r="K841" s="3">
        <v>28018998</v>
      </c>
      <c r="L841" s="3">
        <v>21679332</v>
      </c>
      <c r="M841" s="3">
        <f t="shared" si="54"/>
        <v>6339666</v>
      </c>
      <c r="N841" t="s">
        <v>384</v>
      </c>
      <c r="O841" t="s">
        <v>385</v>
      </c>
      <c r="P841" t="s">
        <v>11</v>
      </c>
      <c r="Q841" t="str">
        <f t="shared" si="55"/>
        <v>Kid</v>
      </c>
    </row>
    <row r="842" spans="1:17" x14ac:dyDescent="0.3">
      <c r="A842" t="s">
        <v>692</v>
      </c>
      <c r="B842">
        <v>2024</v>
      </c>
      <c r="C842" s="5" t="s">
        <v>693</v>
      </c>
      <c r="D842" t="s">
        <v>85</v>
      </c>
      <c r="E842" s="4">
        <v>6.3</v>
      </c>
      <c r="F842" t="str">
        <f t="shared" si="52"/>
        <v>Don't Watch</v>
      </c>
      <c r="G842" t="str">
        <f t="shared" si="53"/>
        <v>Avg</v>
      </c>
      <c r="H842" t="str" cm="1">
        <f t="array" ref="H842">_xlfn.IFS(E842&gt;8,"Best",E842=7,"Good",E842&gt;7,"Good",E842&lt;7,"Avg",E842&lt;6,"Below Avg")</f>
        <v>Avg</v>
      </c>
      <c r="I842">
        <v>102</v>
      </c>
      <c r="K842" s="3">
        <v>38398660</v>
      </c>
      <c r="L842" s="3">
        <v>10976408</v>
      </c>
      <c r="M842" s="3">
        <f t="shared" si="54"/>
        <v>27422252</v>
      </c>
      <c r="O842" t="s">
        <v>694</v>
      </c>
      <c r="P842" t="s">
        <v>4</v>
      </c>
      <c r="Q842" t="str">
        <f t="shared" si="55"/>
        <v>Adult</v>
      </c>
    </row>
    <row r="843" spans="1:17" x14ac:dyDescent="0.3">
      <c r="A843" t="s">
        <v>704</v>
      </c>
      <c r="B843">
        <v>2024</v>
      </c>
      <c r="C843" s="5" t="s">
        <v>693</v>
      </c>
      <c r="D843" t="s">
        <v>19</v>
      </c>
      <c r="E843" s="4">
        <v>8.4</v>
      </c>
      <c r="F843" t="str">
        <f t="shared" si="52"/>
        <v>Watch</v>
      </c>
      <c r="G843" t="str">
        <f t="shared" si="53"/>
        <v>Good</v>
      </c>
      <c r="H843" t="str" cm="1">
        <f t="array" ref="H843">_xlfn.IFS(E843&gt;8,"Best",E843=7,"Good",E843&gt;7,"Good",E843&lt;7,"Avg",E843&lt;6,"Below Avg")</f>
        <v>Best</v>
      </c>
      <c r="I843">
        <v>90</v>
      </c>
      <c r="K843" s="3">
        <v>31498650</v>
      </c>
      <c r="L843" s="3">
        <v>23999100</v>
      </c>
      <c r="M843" s="3">
        <f t="shared" si="54"/>
        <v>7499550</v>
      </c>
      <c r="N843" t="s">
        <v>705</v>
      </c>
      <c r="O843" t="s">
        <v>120</v>
      </c>
      <c r="P843" t="s">
        <v>11</v>
      </c>
      <c r="Q843" t="str">
        <f t="shared" si="55"/>
        <v>Kid</v>
      </c>
    </row>
    <row r="844" spans="1:17" x14ac:dyDescent="0.3">
      <c r="A844" t="s">
        <v>706</v>
      </c>
      <c r="B844">
        <v>2024</v>
      </c>
      <c r="C844" s="5" t="s">
        <v>693</v>
      </c>
      <c r="D844" t="s">
        <v>35</v>
      </c>
      <c r="E844" s="4">
        <v>6.7</v>
      </c>
      <c r="F844" t="str">
        <f t="shared" si="52"/>
        <v>Watch</v>
      </c>
      <c r="G844" t="str">
        <f t="shared" si="53"/>
        <v>Avg</v>
      </c>
      <c r="H844" t="str" cm="1">
        <f t="array" ref="H844">_xlfn.IFS(E844&gt;8,"Best",E844=7,"Good",E844&gt;7,"Good",E844&lt;7,"Avg",E844&lt;6,"Below Avg")</f>
        <v>Avg</v>
      </c>
      <c r="I844">
        <v>103</v>
      </c>
      <c r="K844" s="3">
        <v>32541879</v>
      </c>
      <c r="L844" s="3">
        <v>24694586</v>
      </c>
      <c r="M844" s="3">
        <f t="shared" si="54"/>
        <v>7847293</v>
      </c>
      <c r="O844" t="s">
        <v>572</v>
      </c>
      <c r="P844" t="s">
        <v>11</v>
      </c>
      <c r="Q844" t="str">
        <f t="shared" si="55"/>
        <v>Kid</v>
      </c>
    </row>
    <row r="845" spans="1:17" x14ac:dyDescent="0.3">
      <c r="A845" t="s">
        <v>718</v>
      </c>
      <c r="B845">
        <v>2024</v>
      </c>
      <c r="C845" s="5" t="s">
        <v>693</v>
      </c>
      <c r="D845" t="s">
        <v>8</v>
      </c>
      <c r="E845" s="4">
        <v>9.1999999999999993</v>
      </c>
      <c r="F845" t="str">
        <f t="shared" si="52"/>
        <v>Watch</v>
      </c>
      <c r="G845" t="str">
        <f t="shared" si="53"/>
        <v>Best</v>
      </c>
      <c r="H845" t="str" cm="1">
        <f t="array" ref="H845">_xlfn.IFS(E845&gt;8,"Best",E845=7,"Good",E845&gt;7,"Good",E845&lt;7,"Avg",E845&lt;6,"Below Avg")</f>
        <v>Best</v>
      </c>
      <c r="I845">
        <v>92</v>
      </c>
      <c r="K845" s="3">
        <v>28005666</v>
      </c>
      <c r="L845" s="3">
        <v>21670444</v>
      </c>
      <c r="M845" s="3">
        <f t="shared" si="54"/>
        <v>6335222</v>
      </c>
      <c r="N845" t="s">
        <v>719</v>
      </c>
      <c r="O845" t="s">
        <v>720</v>
      </c>
      <c r="P845" t="s">
        <v>11</v>
      </c>
      <c r="Q845" t="str">
        <f t="shared" si="55"/>
        <v>Kid</v>
      </c>
    </row>
    <row r="846" spans="1:17" x14ac:dyDescent="0.3">
      <c r="A846" t="s">
        <v>721</v>
      </c>
      <c r="B846">
        <v>2024</v>
      </c>
      <c r="C846" s="5" t="s">
        <v>693</v>
      </c>
      <c r="D846" t="s">
        <v>148</v>
      </c>
      <c r="E846" s="4">
        <v>8.1999999999999993</v>
      </c>
      <c r="F846" t="str">
        <f t="shared" si="52"/>
        <v>Watch</v>
      </c>
      <c r="G846" t="str">
        <f t="shared" si="53"/>
        <v>Good</v>
      </c>
      <c r="H846" t="str" cm="1">
        <f t="array" ref="H846">_xlfn.IFS(E846&gt;8,"Best",E846=7,"Good",E846&gt;7,"Good",E846&lt;7,"Avg",E846&lt;6,"Below Avg")</f>
        <v>Best</v>
      </c>
      <c r="I846">
        <v>94</v>
      </c>
      <c r="K846" s="3">
        <v>39604095</v>
      </c>
      <c r="L846" s="3">
        <v>11244186</v>
      </c>
      <c r="M846" s="3">
        <f t="shared" si="54"/>
        <v>28359909</v>
      </c>
      <c r="N846" t="s">
        <v>722</v>
      </c>
      <c r="O846" t="s">
        <v>723</v>
      </c>
      <c r="P846" t="s">
        <v>4</v>
      </c>
      <c r="Q846" t="str">
        <f t="shared" si="55"/>
        <v>Adult</v>
      </c>
    </row>
    <row r="847" spans="1:17" x14ac:dyDescent="0.3">
      <c r="A847" t="s">
        <v>727</v>
      </c>
      <c r="B847">
        <v>2024</v>
      </c>
      <c r="C847" s="5" t="s">
        <v>693</v>
      </c>
      <c r="D847" t="s">
        <v>39</v>
      </c>
      <c r="E847" s="4">
        <v>6.3</v>
      </c>
      <c r="F847" t="str">
        <f t="shared" si="52"/>
        <v>Don't Watch</v>
      </c>
      <c r="G847" t="str">
        <f t="shared" si="53"/>
        <v>Avg</v>
      </c>
      <c r="H847" t="str" cm="1">
        <f t="array" ref="H847">_xlfn.IFS(E847&gt;8,"Best",E847=7,"Good",E847&gt;7,"Good",E847&lt;7,"Avg",E847&lt;6,"Below Avg")</f>
        <v>Avg</v>
      </c>
      <c r="I847">
        <v>96</v>
      </c>
      <c r="K847" s="3">
        <v>30768723</v>
      </c>
      <c r="L847" s="3">
        <v>23512482</v>
      </c>
      <c r="M847" s="3">
        <f t="shared" si="54"/>
        <v>7256241</v>
      </c>
      <c r="N847" t="s">
        <v>728</v>
      </c>
      <c r="O847" t="s">
        <v>120</v>
      </c>
      <c r="P847" t="s">
        <v>11</v>
      </c>
      <c r="Q847" t="str">
        <f t="shared" si="55"/>
        <v>Kid</v>
      </c>
    </row>
    <row r="848" spans="1:17" x14ac:dyDescent="0.3">
      <c r="A848" t="s">
        <v>729</v>
      </c>
      <c r="B848">
        <v>2024</v>
      </c>
      <c r="C848" s="5" t="s">
        <v>693</v>
      </c>
      <c r="D848" t="s">
        <v>8</v>
      </c>
      <c r="E848" s="4">
        <v>7.6</v>
      </c>
      <c r="F848" t="str">
        <f t="shared" si="52"/>
        <v>Watch</v>
      </c>
      <c r="G848" t="str">
        <f t="shared" si="53"/>
        <v>Good</v>
      </c>
      <c r="H848" t="str" cm="1">
        <f t="array" ref="H848">_xlfn.IFS(E848&gt;8,"Best",E848=7,"Good",E848&gt;7,"Good",E848&lt;7,"Avg",E848&lt;6,"Below Avg")</f>
        <v>Good</v>
      </c>
      <c r="I848">
        <v>163</v>
      </c>
      <c r="K848" s="3">
        <v>482380935</v>
      </c>
      <c r="L848" s="3">
        <v>161333983</v>
      </c>
      <c r="M848" s="3">
        <f t="shared" si="54"/>
        <v>321046952</v>
      </c>
      <c r="N848" t="s">
        <v>730</v>
      </c>
      <c r="O848" t="s">
        <v>731</v>
      </c>
      <c r="P848" t="s">
        <v>11</v>
      </c>
      <c r="Q848" t="str">
        <f t="shared" si="55"/>
        <v>Kid</v>
      </c>
    </row>
    <row r="849" spans="1:17" x14ac:dyDescent="0.3">
      <c r="A849" t="s">
        <v>743</v>
      </c>
      <c r="B849">
        <v>2024</v>
      </c>
      <c r="C849" s="5" t="s">
        <v>693</v>
      </c>
      <c r="D849" t="s">
        <v>8</v>
      </c>
      <c r="E849" s="4">
        <v>6.2</v>
      </c>
      <c r="F849" t="str">
        <f t="shared" si="52"/>
        <v>Don't Watch</v>
      </c>
      <c r="G849" t="str">
        <f t="shared" si="53"/>
        <v>Avg</v>
      </c>
      <c r="H849" t="str" cm="1">
        <f t="array" ref="H849">_xlfn.IFS(E849&gt;8,"Best",E849=7,"Good",E849&gt;7,"Good",E849&lt;7,"Avg",E849&lt;6,"Below Avg")</f>
        <v>Avg</v>
      </c>
      <c r="I849">
        <v>104</v>
      </c>
      <c r="K849" s="3">
        <v>27795687</v>
      </c>
      <c r="L849" s="3">
        <v>21530458</v>
      </c>
      <c r="M849" s="3">
        <f t="shared" si="54"/>
        <v>6265229</v>
      </c>
      <c r="N849" t="s">
        <v>744</v>
      </c>
      <c r="O849" t="s">
        <v>745</v>
      </c>
      <c r="P849" t="s">
        <v>11</v>
      </c>
      <c r="Q849" t="str">
        <f t="shared" si="55"/>
        <v>Kid</v>
      </c>
    </row>
    <row r="850" spans="1:17" x14ac:dyDescent="0.3">
      <c r="A850" t="s">
        <v>746</v>
      </c>
      <c r="B850">
        <v>2024</v>
      </c>
      <c r="C850" s="5" t="s">
        <v>693</v>
      </c>
      <c r="D850" t="s">
        <v>93</v>
      </c>
      <c r="E850" s="4">
        <v>9.1</v>
      </c>
      <c r="F850" t="str">
        <f t="shared" si="52"/>
        <v>Watch</v>
      </c>
      <c r="G850" t="str">
        <f t="shared" si="53"/>
        <v>Best</v>
      </c>
      <c r="H850" t="str" cm="1">
        <f t="array" ref="H850">_xlfn.IFS(E850&gt;8,"Best",E850=7,"Good",E850&gt;7,"Good",E850&lt;7,"Avg",E850&lt;6,"Below Avg")</f>
        <v>Best</v>
      </c>
      <c r="I850">
        <v>91</v>
      </c>
      <c r="K850" s="3">
        <v>30752058</v>
      </c>
      <c r="L850" s="3">
        <v>23501372</v>
      </c>
      <c r="M850" s="3">
        <f t="shared" si="54"/>
        <v>7250686</v>
      </c>
      <c r="N850" t="s">
        <v>523</v>
      </c>
      <c r="O850" t="s">
        <v>747</v>
      </c>
      <c r="P850" t="s">
        <v>11</v>
      </c>
      <c r="Q850" t="str">
        <f t="shared" si="55"/>
        <v>Kid</v>
      </c>
    </row>
    <row r="851" spans="1:17" x14ac:dyDescent="0.3">
      <c r="A851" t="s">
        <v>752</v>
      </c>
      <c r="B851">
        <v>2024</v>
      </c>
      <c r="C851" s="5" t="s">
        <v>693</v>
      </c>
      <c r="D851" t="s">
        <v>93</v>
      </c>
      <c r="E851" s="4">
        <v>8.4</v>
      </c>
      <c r="F851" t="str">
        <f t="shared" si="52"/>
        <v>Watch</v>
      </c>
      <c r="G851" t="str">
        <f t="shared" si="53"/>
        <v>Good</v>
      </c>
      <c r="H851" t="str" cm="1">
        <f t="array" ref="H851">_xlfn.IFS(E851&gt;8,"Best",E851=7,"Good",E851&gt;7,"Good",E851&lt;7,"Avg",E851&lt;6,"Below Avg")</f>
        <v>Best</v>
      </c>
      <c r="I851">
        <v>138</v>
      </c>
      <c r="K851" s="3">
        <v>482072310</v>
      </c>
      <c r="L851" s="3">
        <v>161225958</v>
      </c>
      <c r="M851" s="3">
        <f t="shared" si="54"/>
        <v>320846352</v>
      </c>
      <c r="O851" t="s">
        <v>753</v>
      </c>
      <c r="P851" t="s">
        <v>403</v>
      </c>
      <c r="Q851" t="str">
        <f t="shared" si="55"/>
        <v>Kid</v>
      </c>
    </row>
    <row r="852" spans="1:17" x14ac:dyDescent="0.3">
      <c r="A852" t="s">
        <v>761</v>
      </c>
      <c r="B852">
        <v>2024</v>
      </c>
      <c r="C852" s="5" t="s">
        <v>693</v>
      </c>
      <c r="D852" t="s">
        <v>27</v>
      </c>
      <c r="E852" s="4">
        <v>8.3000000000000007</v>
      </c>
      <c r="F852" t="str">
        <f t="shared" si="52"/>
        <v>Watch</v>
      </c>
      <c r="G852" t="str">
        <f t="shared" si="53"/>
        <v>Good</v>
      </c>
      <c r="H852" t="str" cm="1">
        <f t="array" ref="H852">_xlfn.IFS(E852&gt;8,"Best",E852=7,"Good",E852&gt;7,"Good",E852&lt;7,"Avg",E852&lt;6,"Below Avg")</f>
        <v>Best</v>
      </c>
      <c r="I852">
        <v>131</v>
      </c>
      <c r="K852" s="3">
        <v>28635603</v>
      </c>
      <c r="L852" s="3">
        <v>22090402</v>
      </c>
      <c r="M852" s="3">
        <f t="shared" si="54"/>
        <v>6545201</v>
      </c>
      <c r="O852" t="s">
        <v>762</v>
      </c>
      <c r="P852" t="s">
        <v>11</v>
      </c>
      <c r="Q852" t="str">
        <f t="shared" si="55"/>
        <v>Kid</v>
      </c>
    </row>
    <row r="853" spans="1:17" x14ac:dyDescent="0.3">
      <c r="A853" t="s">
        <v>763</v>
      </c>
      <c r="B853">
        <v>2024</v>
      </c>
      <c r="C853" s="5" t="s">
        <v>693</v>
      </c>
      <c r="D853" t="s">
        <v>304</v>
      </c>
      <c r="E853" s="4">
        <v>7.3</v>
      </c>
      <c r="F853" t="str">
        <f t="shared" si="52"/>
        <v>Watch</v>
      </c>
      <c r="G853" t="str">
        <f t="shared" si="53"/>
        <v>Good</v>
      </c>
      <c r="H853" t="str" cm="1">
        <f t="array" ref="H853">_xlfn.IFS(E853&gt;8,"Best",E853=7,"Good",E853&gt;7,"Good",E853&lt;7,"Avg",E853&lt;6,"Below Avg")</f>
        <v>Good</v>
      </c>
      <c r="I853">
        <v>121</v>
      </c>
      <c r="K853" s="3">
        <v>28602273</v>
      </c>
      <c r="L853" s="3">
        <v>22068182</v>
      </c>
      <c r="M853" s="3">
        <f t="shared" si="54"/>
        <v>6534091</v>
      </c>
      <c r="N853" t="s">
        <v>764</v>
      </c>
      <c r="O853" t="s">
        <v>765</v>
      </c>
      <c r="P853" t="s">
        <v>11</v>
      </c>
      <c r="Q853" t="str">
        <f t="shared" si="55"/>
        <v>Kid</v>
      </c>
    </row>
    <row r="854" spans="1:17" x14ac:dyDescent="0.3">
      <c r="A854" t="s">
        <v>695</v>
      </c>
      <c r="B854">
        <v>2024</v>
      </c>
      <c r="C854" s="5" t="s">
        <v>693</v>
      </c>
      <c r="D854" t="s">
        <v>27</v>
      </c>
      <c r="E854" s="4">
        <v>9.1</v>
      </c>
      <c r="F854" t="str">
        <f t="shared" si="52"/>
        <v>Watch</v>
      </c>
      <c r="G854" t="str">
        <f t="shared" si="53"/>
        <v>Best</v>
      </c>
      <c r="H854" t="str" cm="1">
        <f t="array" ref="H854">_xlfn.IFS(E854&gt;8,"Best",E854=7,"Good",E854&gt;7,"Good",E854&lt;7,"Avg",E854&lt;6,"Below Avg")</f>
        <v>Best</v>
      </c>
      <c r="I854">
        <v>136</v>
      </c>
      <c r="K854" s="3">
        <v>26902443</v>
      </c>
      <c r="L854" s="3">
        <v>20934962</v>
      </c>
      <c r="M854" s="3">
        <f t="shared" si="54"/>
        <v>5967481</v>
      </c>
      <c r="N854" t="s">
        <v>696</v>
      </c>
      <c r="O854" t="s">
        <v>697</v>
      </c>
      <c r="P854" t="s">
        <v>11</v>
      </c>
      <c r="Q854" t="str">
        <f t="shared" si="55"/>
        <v>Kid</v>
      </c>
    </row>
    <row r="855" spans="1:17" x14ac:dyDescent="0.3">
      <c r="A855" t="s">
        <v>698</v>
      </c>
      <c r="B855">
        <v>2024</v>
      </c>
      <c r="C855" s="5" t="s">
        <v>693</v>
      </c>
      <c r="D855" t="s">
        <v>19</v>
      </c>
      <c r="E855" s="4">
        <v>7.1</v>
      </c>
      <c r="F855" t="str">
        <f t="shared" si="52"/>
        <v>Watch</v>
      </c>
      <c r="G855" t="str">
        <f t="shared" si="53"/>
        <v>Good</v>
      </c>
      <c r="H855" t="str" cm="1">
        <f t="array" ref="H855">_xlfn.IFS(E855&gt;8,"Best",E855=7,"Good",E855&gt;7,"Good",E855&lt;7,"Avg",E855&lt;6,"Below Avg")</f>
        <v>Good</v>
      </c>
      <c r="I855">
        <v>95</v>
      </c>
      <c r="K855" s="3">
        <v>28265640</v>
      </c>
      <c r="L855" s="3">
        <v>21843760</v>
      </c>
      <c r="M855" s="3">
        <f t="shared" si="54"/>
        <v>6421880</v>
      </c>
      <c r="N855" t="s">
        <v>699</v>
      </c>
      <c r="O855" t="s">
        <v>700</v>
      </c>
      <c r="P855" t="s">
        <v>11</v>
      </c>
      <c r="Q855" t="str">
        <f t="shared" si="55"/>
        <v>Kid</v>
      </c>
    </row>
    <row r="856" spans="1:17" x14ac:dyDescent="0.3">
      <c r="A856" t="s">
        <v>701</v>
      </c>
      <c r="B856">
        <v>2024</v>
      </c>
      <c r="C856" s="5" t="s">
        <v>693</v>
      </c>
      <c r="D856" t="s">
        <v>8</v>
      </c>
      <c r="E856" s="4">
        <v>7</v>
      </c>
      <c r="F856" t="str">
        <f t="shared" si="52"/>
        <v>Watch</v>
      </c>
      <c r="G856" t="str">
        <f t="shared" si="53"/>
        <v>Avg</v>
      </c>
      <c r="H856" t="str" cm="1">
        <f t="array" ref="H856">_xlfn.IFS(E856&gt;8,"Best",E856=7,"Good",E856&gt;7,"Good",E856&lt;7,"Avg",E856&lt;6,"Below Avg")</f>
        <v>Good</v>
      </c>
      <c r="I856">
        <v>145</v>
      </c>
      <c r="K856" s="3">
        <v>27932340</v>
      </c>
      <c r="L856" s="3">
        <v>21621560</v>
      </c>
      <c r="M856" s="3">
        <f t="shared" si="54"/>
        <v>6310780</v>
      </c>
      <c r="N856" t="s">
        <v>702</v>
      </c>
      <c r="O856" t="s">
        <v>703</v>
      </c>
      <c r="P856" t="s">
        <v>11</v>
      </c>
      <c r="Q856" t="str">
        <f t="shared" si="55"/>
        <v>Kid</v>
      </c>
    </row>
    <row r="857" spans="1:17" x14ac:dyDescent="0.3">
      <c r="A857" t="s">
        <v>707</v>
      </c>
      <c r="B857">
        <v>2024</v>
      </c>
      <c r="C857" s="5" t="s">
        <v>693</v>
      </c>
      <c r="D857" t="s">
        <v>23</v>
      </c>
      <c r="E857" s="4">
        <v>6.3</v>
      </c>
      <c r="F857" t="str">
        <f t="shared" si="52"/>
        <v>Don't Watch</v>
      </c>
      <c r="G857" t="str">
        <f t="shared" si="53"/>
        <v>Avg</v>
      </c>
      <c r="H857" t="str" cm="1">
        <f t="array" ref="H857">_xlfn.IFS(E857&gt;8,"Best",E857=7,"Good",E857&gt;7,"Good",E857&lt;7,"Avg",E857&lt;6,"Below Avg")</f>
        <v>Avg</v>
      </c>
      <c r="I857">
        <v>102</v>
      </c>
      <c r="K857" s="3">
        <v>34288371</v>
      </c>
      <c r="L857" s="3">
        <v>25858914</v>
      </c>
      <c r="M857" s="3">
        <f t="shared" si="54"/>
        <v>8429457</v>
      </c>
      <c r="N857" t="s">
        <v>708</v>
      </c>
      <c r="O857" t="s">
        <v>709</v>
      </c>
      <c r="P857" t="s">
        <v>11</v>
      </c>
      <c r="Q857" t="str">
        <f t="shared" si="55"/>
        <v>Kid</v>
      </c>
    </row>
    <row r="858" spans="1:17" x14ac:dyDescent="0.3">
      <c r="A858" t="s">
        <v>710</v>
      </c>
      <c r="B858">
        <v>2024</v>
      </c>
      <c r="C858" s="5" t="s">
        <v>693</v>
      </c>
      <c r="D858" t="s">
        <v>39</v>
      </c>
      <c r="E858" s="4">
        <v>7</v>
      </c>
      <c r="F858" t="str">
        <f t="shared" si="52"/>
        <v>Watch</v>
      </c>
      <c r="G858" t="str">
        <f t="shared" si="53"/>
        <v>Avg</v>
      </c>
      <c r="H858" t="str" cm="1">
        <f t="array" ref="H858">_xlfn.IFS(E858&gt;8,"Best",E858=7,"Good",E858&gt;7,"Good",E858&lt;7,"Avg",E858&lt;6,"Below Avg")</f>
        <v>Good</v>
      </c>
      <c r="I858">
        <v>148</v>
      </c>
      <c r="K858" s="3">
        <v>29692164</v>
      </c>
      <c r="L858" s="3">
        <v>22794776</v>
      </c>
      <c r="M858" s="3">
        <f t="shared" si="54"/>
        <v>6897388</v>
      </c>
      <c r="O858" t="s">
        <v>711</v>
      </c>
      <c r="P858" t="s">
        <v>11</v>
      </c>
      <c r="Q858" t="str">
        <f t="shared" si="55"/>
        <v>Kid</v>
      </c>
    </row>
    <row r="859" spans="1:17" x14ac:dyDescent="0.3">
      <c r="A859" t="s">
        <v>712</v>
      </c>
      <c r="B859">
        <v>2024</v>
      </c>
      <c r="C859" s="5" t="s">
        <v>693</v>
      </c>
      <c r="D859" t="s">
        <v>148</v>
      </c>
      <c r="E859" s="4">
        <v>8.1999999999999993</v>
      </c>
      <c r="F859" t="str">
        <f t="shared" si="52"/>
        <v>Watch</v>
      </c>
      <c r="G859" t="str">
        <f t="shared" si="53"/>
        <v>Good</v>
      </c>
      <c r="H859" t="str" cm="1">
        <f t="array" ref="H859">_xlfn.IFS(E859&gt;8,"Best",E859=7,"Good",E859&gt;7,"Good",E859&lt;7,"Avg",E859&lt;6,"Below Avg")</f>
        <v>Best</v>
      </c>
      <c r="I859">
        <v>124</v>
      </c>
      <c r="K859" s="3">
        <v>41437245</v>
      </c>
      <c r="L859" s="3">
        <v>11651406</v>
      </c>
      <c r="M859" s="3">
        <f t="shared" si="54"/>
        <v>29785839</v>
      </c>
      <c r="N859" t="s">
        <v>713</v>
      </c>
      <c r="O859" t="s">
        <v>714</v>
      </c>
      <c r="P859" t="s">
        <v>4</v>
      </c>
      <c r="Q859" t="str">
        <f t="shared" si="55"/>
        <v>Adult</v>
      </c>
    </row>
    <row r="860" spans="1:17" x14ac:dyDescent="0.3">
      <c r="A860" t="s">
        <v>715</v>
      </c>
      <c r="B860">
        <v>2024</v>
      </c>
      <c r="C860" s="5" t="s">
        <v>693</v>
      </c>
      <c r="D860" t="s">
        <v>2</v>
      </c>
      <c r="E860" s="4">
        <v>6.2</v>
      </c>
      <c r="F860" t="str">
        <f t="shared" si="52"/>
        <v>Don't Watch</v>
      </c>
      <c r="G860" t="str">
        <f t="shared" si="53"/>
        <v>Avg</v>
      </c>
      <c r="H860" t="str" cm="1">
        <f t="array" ref="H860">_xlfn.IFS(E860&gt;8,"Best",E860=7,"Good",E860&gt;7,"Good",E860&lt;7,"Avg",E860&lt;6,"Below Avg")</f>
        <v>Avg</v>
      </c>
      <c r="I860">
        <v>101</v>
      </c>
      <c r="K860" s="3">
        <v>52141730</v>
      </c>
      <c r="L860" s="3">
        <v>14029324</v>
      </c>
      <c r="M860" s="3">
        <f t="shared" si="54"/>
        <v>38112406</v>
      </c>
      <c r="O860" t="s">
        <v>83</v>
      </c>
      <c r="P860" t="s">
        <v>4</v>
      </c>
      <c r="Q860" t="str">
        <f t="shared" si="55"/>
        <v>Adult</v>
      </c>
    </row>
    <row r="861" spans="1:17" x14ac:dyDescent="0.3">
      <c r="A861" t="s">
        <v>716</v>
      </c>
      <c r="B861">
        <v>2024</v>
      </c>
      <c r="C861" s="5" t="s">
        <v>693</v>
      </c>
      <c r="D861" t="s">
        <v>35</v>
      </c>
      <c r="E861" s="4">
        <v>6.8</v>
      </c>
      <c r="F861" t="str">
        <f t="shared" si="52"/>
        <v>Watch</v>
      </c>
      <c r="G861" t="str">
        <f t="shared" si="53"/>
        <v>Avg</v>
      </c>
      <c r="H861" t="str" cm="1">
        <f t="array" ref="H861">_xlfn.IFS(E861&gt;8,"Best",E861=7,"Good",E861&gt;7,"Good",E861&lt;7,"Avg",E861&lt;6,"Below Avg")</f>
        <v>Avg</v>
      </c>
      <c r="I861">
        <v>161</v>
      </c>
      <c r="K861" s="3">
        <v>27485718</v>
      </c>
      <c r="L861" s="3">
        <v>21323812</v>
      </c>
      <c r="M861" s="3">
        <f t="shared" si="54"/>
        <v>6161906</v>
      </c>
      <c r="N861" t="s">
        <v>717</v>
      </c>
      <c r="O861" t="s">
        <v>497</v>
      </c>
      <c r="P861" t="s">
        <v>11</v>
      </c>
      <c r="Q861" t="str">
        <f t="shared" si="55"/>
        <v>Kid</v>
      </c>
    </row>
    <row r="862" spans="1:17" x14ac:dyDescent="0.3">
      <c r="A862" t="s">
        <v>724</v>
      </c>
      <c r="B862">
        <v>2024</v>
      </c>
      <c r="C862" s="5" t="s">
        <v>693</v>
      </c>
      <c r="D862" t="s">
        <v>8</v>
      </c>
      <c r="E862" s="4">
        <v>7.9</v>
      </c>
      <c r="F862" t="str">
        <f t="shared" si="52"/>
        <v>Watch</v>
      </c>
      <c r="G862" t="str">
        <f t="shared" si="53"/>
        <v>Good</v>
      </c>
      <c r="H862" t="str" cm="1">
        <f t="array" ref="H862">_xlfn.IFS(E862&gt;8,"Best",E862=7,"Good",E862&gt;7,"Good",E862&lt;7,"Avg",E862&lt;6,"Below Avg")</f>
        <v>Good</v>
      </c>
      <c r="I862">
        <v>91</v>
      </c>
      <c r="K862" s="3">
        <v>26752458</v>
      </c>
      <c r="L862" s="3">
        <v>20834972</v>
      </c>
      <c r="M862" s="3">
        <f t="shared" si="54"/>
        <v>5917486</v>
      </c>
      <c r="N862" t="s">
        <v>725</v>
      </c>
      <c r="O862" t="s">
        <v>726</v>
      </c>
      <c r="P862" t="s">
        <v>11</v>
      </c>
      <c r="Q862" t="str">
        <f t="shared" si="55"/>
        <v>Kid</v>
      </c>
    </row>
    <row r="863" spans="1:17" x14ac:dyDescent="0.3">
      <c r="A863" t="s">
        <v>732</v>
      </c>
      <c r="B863">
        <v>2024</v>
      </c>
      <c r="C863" s="5" t="s">
        <v>693</v>
      </c>
      <c r="D863" t="s">
        <v>27</v>
      </c>
      <c r="E863" s="4">
        <v>7.9</v>
      </c>
      <c r="F863" t="str">
        <f t="shared" si="52"/>
        <v>Watch</v>
      </c>
      <c r="G863" t="str">
        <f t="shared" si="53"/>
        <v>Good</v>
      </c>
      <c r="H863" t="str" cm="1">
        <f t="array" ref="H863">_xlfn.IFS(E863&gt;8,"Best",E863=7,"Good",E863&gt;7,"Good",E863&lt;7,"Avg",E863&lt;6,"Below Avg")</f>
        <v>Good</v>
      </c>
      <c r="I863">
        <v>136</v>
      </c>
      <c r="K863" s="3">
        <v>488528745</v>
      </c>
      <c r="L863" s="3">
        <v>163485841</v>
      </c>
      <c r="M863" s="3">
        <f t="shared" si="54"/>
        <v>325042904</v>
      </c>
      <c r="N863" t="s">
        <v>733</v>
      </c>
      <c r="O863" t="s">
        <v>734</v>
      </c>
      <c r="P863" t="s">
        <v>11</v>
      </c>
      <c r="Q863" t="str">
        <f t="shared" si="55"/>
        <v>Kid</v>
      </c>
    </row>
    <row r="864" spans="1:17" x14ac:dyDescent="0.3">
      <c r="A864" t="s">
        <v>735</v>
      </c>
      <c r="B864">
        <v>2024</v>
      </c>
      <c r="C864" s="5" t="s">
        <v>693</v>
      </c>
      <c r="D864" t="s">
        <v>93</v>
      </c>
      <c r="E864" s="4">
        <v>6.3</v>
      </c>
      <c r="F864" t="str">
        <f t="shared" si="52"/>
        <v>Don't Watch</v>
      </c>
      <c r="G864" t="str">
        <f t="shared" si="53"/>
        <v>Avg</v>
      </c>
      <c r="H864" t="str" cm="1">
        <f t="array" ref="H864">_xlfn.IFS(E864&gt;8,"Best",E864=7,"Good",E864&gt;7,"Good",E864&lt;7,"Avg",E864&lt;6,"Below Avg")</f>
        <v>Avg</v>
      </c>
      <c r="I864">
        <v>162</v>
      </c>
      <c r="K864" s="3">
        <v>28238976</v>
      </c>
      <c r="L864" s="3">
        <v>21825984</v>
      </c>
      <c r="M864" s="3">
        <f t="shared" si="54"/>
        <v>6412992</v>
      </c>
      <c r="N864" t="s">
        <v>736</v>
      </c>
      <c r="O864" t="s">
        <v>737</v>
      </c>
      <c r="P864" t="s">
        <v>11</v>
      </c>
      <c r="Q864" t="str">
        <f t="shared" si="55"/>
        <v>Kid</v>
      </c>
    </row>
    <row r="865" spans="1:17" x14ac:dyDescent="0.3">
      <c r="A865" t="s">
        <v>738</v>
      </c>
      <c r="B865">
        <v>2024</v>
      </c>
      <c r="C865" s="5" t="s">
        <v>693</v>
      </c>
      <c r="D865" t="s">
        <v>8</v>
      </c>
      <c r="E865" s="4">
        <v>8.9</v>
      </c>
      <c r="F865" t="str">
        <f t="shared" si="52"/>
        <v>Watch</v>
      </c>
      <c r="G865" t="str">
        <f t="shared" si="53"/>
        <v>Best</v>
      </c>
      <c r="H865" t="str" cm="1">
        <f t="array" ref="H865">_xlfn.IFS(E865&gt;8,"Best",E865=7,"Good",E865&gt;7,"Good",E865&lt;7,"Avg",E865&lt;6,"Below Avg")</f>
        <v>Best</v>
      </c>
      <c r="I865">
        <v>152</v>
      </c>
      <c r="K865" s="3">
        <v>26455821</v>
      </c>
      <c r="L865" s="3">
        <v>20637214</v>
      </c>
      <c r="M865" s="3">
        <f t="shared" si="54"/>
        <v>5818607</v>
      </c>
      <c r="N865" t="s">
        <v>739</v>
      </c>
      <c r="O865" t="s">
        <v>59</v>
      </c>
      <c r="P865" t="s">
        <v>11</v>
      </c>
      <c r="Q865" t="str">
        <f t="shared" si="55"/>
        <v>Kid</v>
      </c>
    </row>
    <row r="866" spans="1:17" x14ac:dyDescent="0.3">
      <c r="A866" t="s">
        <v>740</v>
      </c>
      <c r="B866">
        <v>2024</v>
      </c>
      <c r="C866" s="5" t="s">
        <v>693</v>
      </c>
      <c r="D866" t="s">
        <v>49</v>
      </c>
      <c r="E866" s="4">
        <v>6.1</v>
      </c>
      <c r="F866" t="str">
        <f t="shared" si="52"/>
        <v>Don't Watch</v>
      </c>
      <c r="G866" t="str">
        <f t="shared" si="53"/>
        <v>Avg</v>
      </c>
      <c r="H866" t="str" cm="1">
        <f t="array" ref="H866">_xlfn.IFS(E866&gt;8,"Best",E866=7,"Good",E866&gt;7,"Good",E866&lt;7,"Avg",E866&lt;6,"Below Avg")</f>
        <v>Avg</v>
      </c>
      <c r="I866">
        <v>100</v>
      </c>
      <c r="K866" s="3">
        <v>28782255</v>
      </c>
      <c r="L866" s="3">
        <v>22188170</v>
      </c>
      <c r="M866" s="3">
        <f t="shared" si="54"/>
        <v>6594085</v>
      </c>
      <c r="N866" t="s">
        <v>741</v>
      </c>
      <c r="O866" t="s">
        <v>742</v>
      </c>
      <c r="P866" t="s">
        <v>11</v>
      </c>
      <c r="Q866" t="str">
        <f t="shared" si="55"/>
        <v>Kid</v>
      </c>
    </row>
    <row r="867" spans="1:17" x14ac:dyDescent="0.3">
      <c r="A867" t="s">
        <v>748</v>
      </c>
      <c r="B867">
        <v>2024</v>
      </c>
      <c r="C867" s="5" t="s">
        <v>693</v>
      </c>
      <c r="D867" t="s">
        <v>8</v>
      </c>
      <c r="E867" s="4">
        <v>9.1</v>
      </c>
      <c r="F867" t="str">
        <f t="shared" si="52"/>
        <v>Watch</v>
      </c>
      <c r="G867" t="str">
        <f t="shared" si="53"/>
        <v>Best</v>
      </c>
      <c r="H867" t="str" cm="1">
        <f t="array" ref="H867">_xlfn.IFS(E867&gt;8,"Best",E867=7,"Good",E867&gt;7,"Good",E867&lt;7,"Avg",E867&lt;6,"Below Avg")</f>
        <v>Best</v>
      </c>
      <c r="I867">
        <v>109</v>
      </c>
      <c r="K867" s="3">
        <v>35811552</v>
      </c>
      <c r="L867" s="3">
        <v>26874368</v>
      </c>
      <c r="M867" s="3">
        <f t="shared" si="54"/>
        <v>8937184</v>
      </c>
      <c r="N867" t="s">
        <v>749</v>
      </c>
      <c r="O867" t="s">
        <v>750</v>
      </c>
      <c r="P867" t="s">
        <v>11</v>
      </c>
      <c r="Q867" t="str">
        <f t="shared" si="55"/>
        <v>Kid</v>
      </c>
    </row>
    <row r="868" spans="1:17" x14ac:dyDescent="0.3">
      <c r="A868" t="s">
        <v>751</v>
      </c>
      <c r="B868">
        <v>2024</v>
      </c>
      <c r="C868" s="5" t="s">
        <v>693</v>
      </c>
      <c r="D868" t="s">
        <v>148</v>
      </c>
      <c r="E868" s="4">
        <v>7.5</v>
      </c>
      <c r="F868" t="str">
        <f t="shared" si="52"/>
        <v>Watch</v>
      </c>
      <c r="G868" t="str">
        <f t="shared" si="53"/>
        <v>Good</v>
      </c>
      <c r="H868" t="str" cm="1">
        <f t="array" ref="H868">_xlfn.IFS(E868&gt;8,"Best",E868=7,"Good",E868&gt;7,"Good",E868&lt;7,"Avg",E868&lt;6,"Below Avg")</f>
        <v>Good</v>
      </c>
      <c r="I868">
        <v>114</v>
      </c>
      <c r="K868" s="3">
        <v>43048195</v>
      </c>
      <c r="L868" s="3">
        <v>12009266</v>
      </c>
      <c r="M868" s="3">
        <f t="shared" si="54"/>
        <v>31038929</v>
      </c>
      <c r="O868" t="s">
        <v>3</v>
      </c>
      <c r="P868" t="s">
        <v>4</v>
      </c>
      <c r="Q868" t="str">
        <f t="shared" si="55"/>
        <v>Adult</v>
      </c>
    </row>
    <row r="869" spans="1:17" x14ac:dyDescent="0.3">
      <c r="A869" t="s">
        <v>754</v>
      </c>
      <c r="B869">
        <v>2024</v>
      </c>
      <c r="C869" s="5" t="s">
        <v>693</v>
      </c>
      <c r="D869" t="s">
        <v>27</v>
      </c>
      <c r="E869" s="4">
        <v>9</v>
      </c>
      <c r="F869" t="str">
        <f t="shared" si="52"/>
        <v>Watch</v>
      </c>
      <c r="G869" t="str">
        <f t="shared" si="53"/>
        <v>Best</v>
      </c>
      <c r="H869" t="str" cm="1">
        <f t="array" ref="H869">_xlfn.IFS(E869&gt;8,"Best",E869=7,"Good",E869&gt;7,"Good",E869&lt;7,"Avg",E869&lt;6,"Below Avg")</f>
        <v>Best</v>
      </c>
      <c r="I869">
        <v>153</v>
      </c>
      <c r="K869" s="3">
        <v>26459154</v>
      </c>
      <c r="L869" s="3">
        <v>20639436</v>
      </c>
      <c r="M869" s="3">
        <f t="shared" si="54"/>
        <v>5819718</v>
      </c>
      <c r="N869" t="s">
        <v>292</v>
      </c>
      <c r="O869" t="s">
        <v>755</v>
      </c>
      <c r="P869" t="s">
        <v>11</v>
      </c>
      <c r="Q869" t="str">
        <f t="shared" si="55"/>
        <v>Kid</v>
      </c>
    </row>
    <row r="870" spans="1:17" x14ac:dyDescent="0.3">
      <c r="A870" t="s">
        <v>756</v>
      </c>
      <c r="B870">
        <v>2024</v>
      </c>
      <c r="C870" s="5" t="s">
        <v>693</v>
      </c>
      <c r="D870" t="s">
        <v>8</v>
      </c>
      <c r="E870" s="4">
        <v>6.6</v>
      </c>
      <c r="F870" t="str">
        <f t="shared" si="52"/>
        <v>Watch</v>
      </c>
      <c r="G870" t="str">
        <f t="shared" si="53"/>
        <v>Avg</v>
      </c>
      <c r="H870" t="str" cm="1">
        <f t="array" ref="H870">_xlfn.IFS(E870&gt;8,"Best",E870=7,"Good",E870&gt;7,"Good",E870&lt;7,"Avg",E870&lt;6,"Below Avg")</f>
        <v>Avg</v>
      </c>
      <c r="I870">
        <v>129</v>
      </c>
      <c r="K870" s="3">
        <v>26379162</v>
      </c>
      <c r="L870" s="3">
        <v>20586108</v>
      </c>
      <c r="M870" s="3">
        <f t="shared" si="54"/>
        <v>5793054</v>
      </c>
      <c r="N870" t="s">
        <v>757</v>
      </c>
      <c r="O870" t="s">
        <v>758</v>
      </c>
      <c r="P870" t="s">
        <v>11</v>
      </c>
      <c r="Q870" t="str">
        <f t="shared" si="55"/>
        <v>Kid</v>
      </c>
    </row>
    <row r="871" spans="1:17" x14ac:dyDescent="0.3">
      <c r="A871" t="s">
        <v>759</v>
      </c>
      <c r="B871">
        <v>2024</v>
      </c>
      <c r="C871" s="5" t="s">
        <v>693</v>
      </c>
      <c r="D871" t="s">
        <v>8</v>
      </c>
      <c r="E871" s="4">
        <v>6.4</v>
      </c>
      <c r="F871" t="str">
        <f t="shared" si="52"/>
        <v>Don't Watch</v>
      </c>
      <c r="G871" t="str">
        <f t="shared" si="53"/>
        <v>Avg</v>
      </c>
      <c r="H871" t="str" cm="1">
        <f t="array" ref="H871">_xlfn.IFS(E871&gt;8,"Best",E871=7,"Good",E871&gt;7,"Good",E871&lt;7,"Avg",E871&lt;6,"Below Avg")</f>
        <v>Avg</v>
      </c>
      <c r="I871">
        <v>124</v>
      </c>
      <c r="K871" s="3">
        <v>30112122</v>
      </c>
      <c r="L871" s="3">
        <v>23074748</v>
      </c>
      <c r="M871" s="3">
        <f t="shared" si="54"/>
        <v>7037374</v>
      </c>
      <c r="N871" t="s">
        <v>760</v>
      </c>
      <c r="O871" t="s">
        <v>120</v>
      </c>
      <c r="P871" t="s">
        <v>11</v>
      </c>
      <c r="Q871" t="str">
        <f t="shared" si="55"/>
        <v>Kid</v>
      </c>
    </row>
    <row r="872" spans="1:17" x14ac:dyDescent="0.3">
      <c r="A872" t="s">
        <v>644</v>
      </c>
      <c r="B872">
        <v>2024</v>
      </c>
      <c r="C872" s="5" t="s">
        <v>640</v>
      </c>
      <c r="D872" t="s">
        <v>116</v>
      </c>
      <c r="E872" s="4">
        <v>7.5</v>
      </c>
      <c r="F872" t="str">
        <f t="shared" si="52"/>
        <v>Watch</v>
      </c>
      <c r="G872" t="str">
        <f t="shared" si="53"/>
        <v>Good</v>
      </c>
      <c r="H872" t="str" cm="1">
        <f t="array" ref="H872">_xlfn.IFS(E872&gt;8,"Best",E872=7,"Good",E872&gt;7,"Good",E872&lt;7,"Avg",E872&lt;6,"Below Avg")</f>
        <v>Good</v>
      </c>
      <c r="I872">
        <v>150</v>
      </c>
      <c r="K872" s="3">
        <v>30698730</v>
      </c>
      <c r="L872" s="3">
        <v>23465820</v>
      </c>
      <c r="M872" s="3">
        <f t="shared" si="54"/>
        <v>7232910</v>
      </c>
      <c r="O872" t="s">
        <v>645</v>
      </c>
      <c r="P872" t="s">
        <v>11</v>
      </c>
      <c r="Q872" t="str">
        <f t="shared" si="55"/>
        <v>Kid</v>
      </c>
    </row>
    <row r="873" spans="1:17" x14ac:dyDescent="0.3">
      <c r="A873" t="s">
        <v>654</v>
      </c>
      <c r="B873">
        <v>2024</v>
      </c>
      <c r="C873" s="5" t="s">
        <v>640</v>
      </c>
      <c r="D873" t="s">
        <v>8</v>
      </c>
      <c r="E873" s="4">
        <v>8.3000000000000007</v>
      </c>
      <c r="F873" t="str">
        <f t="shared" si="52"/>
        <v>Watch</v>
      </c>
      <c r="G873" t="str">
        <f t="shared" si="53"/>
        <v>Good</v>
      </c>
      <c r="H873" t="str" cm="1">
        <f t="array" ref="H873">_xlfn.IFS(E873&gt;8,"Best",E873=7,"Good",E873&gt;7,"Good",E873&lt;7,"Avg",E873&lt;6,"Below Avg")</f>
        <v>Best</v>
      </c>
      <c r="I873">
        <v>146</v>
      </c>
      <c r="K873" s="3">
        <v>31935273</v>
      </c>
      <c r="L873" s="3">
        <v>24290182</v>
      </c>
      <c r="M873" s="3">
        <f t="shared" si="54"/>
        <v>7645091</v>
      </c>
      <c r="O873" t="s">
        <v>655</v>
      </c>
      <c r="P873" t="s">
        <v>11</v>
      </c>
      <c r="Q873" t="str">
        <f t="shared" si="55"/>
        <v>Kid</v>
      </c>
    </row>
    <row r="874" spans="1:17" x14ac:dyDescent="0.3">
      <c r="A874" t="s">
        <v>656</v>
      </c>
      <c r="B874">
        <v>2024</v>
      </c>
      <c r="C874" s="5" t="s">
        <v>640</v>
      </c>
      <c r="D874" t="s">
        <v>8</v>
      </c>
      <c r="E874" s="4">
        <v>8.6999999999999993</v>
      </c>
      <c r="F874" t="str">
        <f t="shared" si="52"/>
        <v>Watch</v>
      </c>
      <c r="G874" t="str">
        <f t="shared" si="53"/>
        <v>Best</v>
      </c>
      <c r="H874" t="str" cm="1">
        <f t="array" ref="H874">_xlfn.IFS(E874&gt;8,"Best",E874=7,"Good",E874&gt;7,"Good",E874&lt;7,"Avg",E874&lt;6,"Below Avg")</f>
        <v>Best</v>
      </c>
      <c r="I874">
        <v>105</v>
      </c>
      <c r="K874" s="3">
        <v>27549045</v>
      </c>
      <c r="L874" s="3">
        <v>21366030</v>
      </c>
      <c r="M874" s="3">
        <f t="shared" si="54"/>
        <v>6183015</v>
      </c>
      <c r="N874" t="s">
        <v>657</v>
      </c>
      <c r="O874" t="s">
        <v>658</v>
      </c>
      <c r="P874" t="s">
        <v>11</v>
      </c>
      <c r="Q874" t="str">
        <f t="shared" si="55"/>
        <v>Kid</v>
      </c>
    </row>
    <row r="875" spans="1:17" x14ac:dyDescent="0.3">
      <c r="A875" t="s">
        <v>674</v>
      </c>
      <c r="B875">
        <v>2024</v>
      </c>
      <c r="C875" s="5" t="s">
        <v>640</v>
      </c>
      <c r="D875" t="s">
        <v>35</v>
      </c>
      <c r="E875" s="4">
        <v>7.9</v>
      </c>
      <c r="F875" t="str">
        <f t="shared" si="52"/>
        <v>Watch</v>
      </c>
      <c r="G875" t="str">
        <f t="shared" si="53"/>
        <v>Good</v>
      </c>
      <c r="H875" t="str" cm="1">
        <f t="array" ref="H875">_xlfn.IFS(E875&gt;8,"Best",E875=7,"Good",E875&gt;7,"Good",E875&lt;7,"Avg",E875&lt;6,"Below Avg")</f>
        <v>Good</v>
      </c>
      <c r="I875">
        <v>109</v>
      </c>
      <c r="K875" s="3">
        <v>29062227</v>
      </c>
      <c r="L875" s="3">
        <v>22374818</v>
      </c>
      <c r="M875" s="3">
        <f t="shared" si="54"/>
        <v>6687409</v>
      </c>
      <c r="N875" t="s">
        <v>675</v>
      </c>
      <c r="O875" t="s">
        <v>3</v>
      </c>
      <c r="P875" t="s">
        <v>11</v>
      </c>
      <c r="Q875" t="str">
        <f t="shared" si="55"/>
        <v>Kid</v>
      </c>
    </row>
    <row r="876" spans="1:17" x14ac:dyDescent="0.3">
      <c r="A876" t="s">
        <v>676</v>
      </c>
      <c r="B876">
        <v>2024</v>
      </c>
      <c r="C876" s="5" t="s">
        <v>640</v>
      </c>
      <c r="D876" t="s">
        <v>148</v>
      </c>
      <c r="E876" s="4">
        <v>6.4</v>
      </c>
      <c r="F876" t="str">
        <f t="shared" si="52"/>
        <v>Don't Watch</v>
      </c>
      <c r="G876" t="str">
        <f t="shared" si="53"/>
        <v>Avg</v>
      </c>
      <c r="H876" t="str" cm="1">
        <f t="array" ref="H876">_xlfn.IFS(E876&gt;8,"Best",E876=7,"Good",E876&gt;7,"Good",E876&lt;7,"Avg",E876&lt;6,"Below Avg")</f>
        <v>Avg</v>
      </c>
      <c r="I876">
        <v>154</v>
      </c>
      <c r="K876" s="3">
        <v>42437145</v>
      </c>
      <c r="L876" s="3">
        <v>11873526</v>
      </c>
      <c r="M876" s="3">
        <f t="shared" si="54"/>
        <v>30563619</v>
      </c>
      <c r="N876" t="s">
        <v>677</v>
      </c>
      <c r="O876" t="s">
        <v>107</v>
      </c>
      <c r="P876" t="s">
        <v>4</v>
      </c>
      <c r="Q876" t="str">
        <f t="shared" si="55"/>
        <v>Adult</v>
      </c>
    </row>
    <row r="877" spans="1:17" x14ac:dyDescent="0.3">
      <c r="A877" t="s">
        <v>691</v>
      </c>
      <c r="B877">
        <v>2024</v>
      </c>
      <c r="C877" s="5" t="s">
        <v>640</v>
      </c>
      <c r="D877" t="s">
        <v>8</v>
      </c>
      <c r="E877" s="4">
        <v>7.6</v>
      </c>
      <c r="F877" t="str">
        <f t="shared" si="52"/>
        <v>Watch</v>
      </c>
      <c r="G877" t="str">
        <f t="shared" si="53"/>
        <v>Good</v>
      </c>
      <c r="H877" t="str" cm="1">
        <f t="array" ref="H877">_xlfn.IFS(E877&gt;8,"Best",E877=7,"Good",E877&gt;7,"Good",E877&lt;7,"Avg",E877&lt;6,"Below Avg")</f>
        <v>Good</v>
      </c>
      <c r="I877">
        <v>145</v>
      </c>
      <c r="K877" s="3">
        <v>27182415</v>
      </c>
      <c r="L877" s="3">
        <v>21121610</v>
      </c>
      <c r="M877" s="3">
        <f t="shared" si="54"/>
        <v>6060805</v>
      </c>
      <c r="O877" t="s">
        <v>120</v>
      </c>
      <c r="P877" t="s">
        <v>11</v>
      </c>
      <c r="Q877" t="str">
        <f t="shared" si="55"/>
        <v>Kid</v>
      </c>
    </row>
    <row r="878" spans="1:17" x14ac:dyDescent="0.3">
      <c r="A878" t="s">
        <v>639</v>
      </c>
      <c r="B878">
        <v>2024</v>
      </c>
      <c r="C878" s="5" t="s">
        <v>640</v>
      </c>
      <c r="D878" t="s">
        <v>148</v>
      </c>
      <c r="E878" s="4">
        <v>6.2</v>
      </c>
      <c r="F878" t="str">
        <f t="shared" si="52"/>
        <v>Don't Watch</v>
      </c>
      <c r="G878" t="str">
        <f t="shared" si="53"/>
        <v>Avg</v>
      </c>
      <c r="H878" t="str" cm="1">
        <f t="array" ref="H878">_xlfn.IFS(E878&gt;8,"Best",E878=7,"Good",E878&gt;7,"Good",E878&lt;7,"Avg",E878&lt;6,"Below Avg")</f>
        <v>Avg</v>
      </c>
      <c r="I878">
        <v>104</v>
      </c>
      <c r="K878" s="3">
        <v>41326145</v>
      </c>
      <c r="L878" s="3">
        <v>11626726</v>
      </c>
      <c r="M878" s="3">
        <f t="shared" si="54"/>
        <v>29699419</v>
      </c>
      <c r="O878" t="s">
        <v>513</v>
      </c>
      <c r="P878" t="s">
        <v>4</v>
      </c>
      <c r="Q878" t="str">
        <f t="shared" si="55"/>
        <v>Adult</v>
      </c>
    </row>
    <row r="879" spans="1:17" x14ac:dyDescent="0.3">
      <c r="A879" t="s">
        <v>641</v>
      </c>
      <c r="B879">
        <v>2024</v>
      </c>
      <c r="C879" s="5" t="s">
        <v>640</v>
      </c>
      <c r="D879" t="s">
        <v>127</v>
      </c>
      <c r="E879" s="4">
        <v>7</v>
      </c>
      <c r="F879" t="str">
        <f t="shared" si="52"/>
        <v>Watch</v>
      </c>
      <c r="G879" t="str">
        <f t="shared" si="53"/>
        <v>Avg</v>
      </c>
      <c r="H879" t="str" cm="1">
        <f t="array" ref="H879">_xlfn.IFS(E879&gt;8,"Best",E879=7,"Good",E879&gt;7,"Good",E879&lt;7,"Avg",E879&lt;6,"Below Avg")</f>
        <v>Good</v>
      </c>
      <c r="I879">
        <v>148</v>
      </c>
      <c r="K879" s="3">
        <v>29692164</v>
      </c>
      <c r="L879" s="3">
        <v>22794776</v>
      </c>
      <c r="M879" s="3">
        <f t="shared" si="54"/>
        <v>6897388</v>
      </c>
      <c r="N879" t="s">
        <v>642</v>
      </c>
      <c r="O879" t="s">
        <v>643</v>
      </c>
      <c r="P879" t="s">
        <v>11</v>
      </c>
      <c r="Q879" t="str">
        <f t="shared" si="55"/>
        <v>Kid</v>
      </c>
    </row>
    <row r="880" spans="1:17" x14ac:dyDescent="0.3">
      <c r="A880" t="s">
        <v>646</v>
      </c>
      <c r="B880">
        <v>2024</v>
      </c>
      <c r="C880" s="5" t="s">
        <v>640</v>
      </c>
      <c r="D880" t="s">
        <v>2</v>
      </c>
      <c r="E880" s="4">
        <v>7.7</v>
      </c>
      <c r="F880" t="str">
        <f t="shared" si="52"/>
        <v>Watch</v>
      </c>
      <c r="G880" t="str">
        <f t="shared" si="53"/>
        <v>Good</v>
      </c>
      <c r="H880" t="str" cm="1">
        <f t="array" ref="H880">_xlfn.IFS(E880&gt;8,"Best",E880=7,"Good",E880&gt;7,"Good",E880&lt;7,"Avg",E880&lt;6,"Below Avg")</f>
        <v>Good</v>
      </c>
      <c r="I880">
        <v>119</v>
      </c>
      <c r="K880" s="3">
        <v>41409470</v>
      </c>
      <c r="L880" s="3">
        <v>11645236</v>
      </c>
      <c r="M880" s="3">
        <f t="shared" si="54"/>
        <v>29764234</v>
      </c>
      <c r="N880" t="s">
        <v>647</v>
      </c>
      <c r="O880" t="s">
        <v>648</v>
      </c>
      <c r="P880" t="s">
        <v>4</v>
      </c>
      <c r="Q880" t="str">
        <f t="shared" si="55"/>
        <v>Adult</v>
      </c>
    </row>
    <row r="881" spans="1:17" x14ac:dyDescent="0.3">
      <c r="A881" t="s">
        <v>649</v>
      </c>
      <c r="B881">
        <v>2024</v>
      </c>
      <c r="C881" s="5" t="s">
        <v>640</v>
      </c>
      <c r="D881" t="s">
        <v>8</v>
      </c>
      <c r="E881" s="4">
        <v>6.1</v>
      </c>
      <c r="F881" t="str">
        <f t="shared" si="52"/>
        <v>Don't Watch</v>
      </c>
      <c r="G881" t="str">
        <f t="shared" si="53"/>
        <v>Avg</v>
      </c>
      <c r="H881" t="str" cm="1">
        <f t="array" ref="H881">_xlfn.IFS(E881&gt;8,"Best",E881=7,"Good",E881&gt;7,"Good",E881&lt;7,"Avg",E881&lt;6,"Below Avg")</f>
        <v>Avg</v>
      </c>
      <c r="I881">
        <v>148</v>
      </c>
      <c r="K881" s="3">
        <v>29442189</v>
      </c>
      <c r="L881" s="3">
        <v>22628126</v>
      </c>
      <c r="M881" s="3">
        <f t="shared" si="54"/>
        <v>6814063</v>
      </c>
      <c r="N881" t="s">
        <v>650</v>
      </c>
      <c r="O881" t="s">
        <v>651</v>
      </c>
      <c r="P881" t="s">
        <v>11</v>
      </c>
      <c r="Q881" t="str">
        <f t="shared" si="55"/>
        <v>Kid</v>
      </c>
    </row>
    <row r="882" spans="1:17" x14ac:dyDescent="0.3">
      <c r="A882" t="s">
        <v>652</v>
      </c>
      <c r="B882">
        <v>2024</v>
      </c>
      <c r="C882" s="5" t="s">
        <v>640</v>
      </c>
      <c r="D882" t="s">
        <v>23</v>
      </c>
      <c r="E882" s="4">
        <v>8.9</v>
      </c>
      <c r="F882" t="str">
        <f t="shared" si="52"/>
        <v>Watch</v>
      </c>
      <c r="G882" t="str">
        <f t="shared" si="53"/>
        <v>Best</v>
      </c>
      <c r="H882" t="str" cm="1">
        <f t="array" ref="H882">_xlfn.IFS(E882&gt;8,"Best",E882=7,"Good",E882&gt;7,"Good",E882&lt;7,"Avg",E882&lt;6,"Below Avg")</f>
        <v>Best</v>
      </c>
      <c r="I882">
        <v>152</v>
      </c>
      <c r="K882" s="3">
        <v>31955271</v>
      </c>
      <c r="L882" s="3">
        <v>24303514</v>
      </c>
      <c r="M882" s="3">
        <f t="shared" si="54"/>
        <v>7651757</v>
      </c>
      <c r="N882" t="s">
        <v>653</v>
      </c>
      <c r="O882" t="s">
        <v>497</v>
      </c>
      <c r="P882" t="s">
        <v>11</v>
      </c>
      <c r="Q882" t="str">
        <f t="shared" si="55"/>
        <v>Kid</v>
      </c>
    </row>
    <row r="883" spans="1:17" x14ac:dyDescent="0.3">
      <c r="A883" t="s">
        <v>659</v>
      </c>
      <c r="B883">
        <v>2024</v>
      </c>
      <c r="C883" s="5" t="s">
        <v>640</v>
      </c>
      <c r="D883" t="s">
        <v>2</v>
      </c>
      <c r="E883" s="4">
        <v>7.2</v>
      </c>
      <c r="F883" t="str">
        <f t="shared" si="52"/>
        <v>Watch</v>
      </c>
      <c r="G883" t="str">
        <f t="shared" si="53"/>
        <v>Good</v>
      </c>
      <c r="H883" t="str" cm="1">
        <f t="array" ref="H883">_xlfn.IFS(E883&gt;8,"Best",E883=7,"Good",E883&gt;7,"Good",E883&lt;7,"Avg",E883&lt;6,"Below Avg")</f>
        <v>Good</v>
      </c>
      <c r="I883">
        <v>144</v>
      </c>
      <c r="K883" s="3">
        <v>43214845</v>
      </c>
      <c r="L883" s="3">
        <v>12046286</v>
      </c>
      <c r="M883" s="3">
        <f t="shared" si="54"/>
        <v>31168559</v>
      </c>
      <c r="O883" t="s">
        <v>660</v>
      </c>
      <c r="P883" t="s">
        <v>4</v>
      </c>
      <c r="Q883" t="str">
        <f t="shared" si="55"/>
        <v>Adult</v>
      </c>
    </row>
    <row r="884" spans="1:17" x14ac:dyDescent="0.3">
      <c r="A884" t="s">
        <v>661</v>
      </c>
      <c r="B884">
        <v>2024</v>
      </c>
      <c r="C884" s="5" t="s">
        <v>640</v>
      </c>
      <c r="D884" t="s">
        <v>232</v>
      </c>
      <c r="E884" s="4">
        <v>7.4</v>
      </c>
      <c r="F884" t="str">
        <f t="shared" si="52"/>
        <v>Watch</v>
      </c>
      <c r="G884" t="str">
        <f t="shared" si="53"/>
        <v>Good</v>
      </c>
      <c r="H884" t="str" cm="1">
        <f t="array" ref="H884">_xlfn.IFS(E884&gt;8,"Best",E884=7,"Good",E884&gt;7,"Good",E884&lt;7,"Avg",E884&lt;6,"Below Avg")</f>
        <v>Good</v>
      </c>
      <c r="I884">
        <v>95</v>
      </c>
      <c r="K884" s="3">
        <v>29265540</v>
      </c>
      <c r="L884" s="3">
        <v>22510360</v>
      </c>
      <c r="M884" s="3">
        <f t="shared" si="54"/>
        <v>6755180</v>
      </c>
      <c r="N884" t="s">
        <v>662</v>
      </c>
      <c r="O884" t="s">
        <v>663</v>
      </c>
      <c r="P884" t="s">
        <v>11</v>
      </c>
      <c r="Q884" t="str">
        <f t="shared" si="55"/>
        <v>Kid</v>
      </c>
    </row>
    <row r="885" spans="1:17" x14ac:dyDescent="0.3">
      <c r="A885" t="s">
        <v>664</v>
      </c>
      <c r="B885">
        <v>2024</v>
      </c>
      <c r="C885" s="5" t="s">
        <v>640</v>
      </c>
      <c r="D885" t="s">
        <v>232</v>
      </c>
      <c r="E885" s="4">
        <v>7.5</v>
      </c>
      <c r="F885" t="str">
        <f t="shared" si="52"/>
        <v>Watch</v>
      </c>
      <c r="G885" t="str">
        <f t="shared" si="53"/>
        <v>Good</v>
      </c>
      <c r="H885" t="str" cm="1">
        <f t="array" ref="H885">_xlfn.IFS(E885&gt;8,"Best",E885=7,"Good",E885&gt;7,"Good",E885&lt;7,"Avg",E885&lt;6,"Below Avg")</f>
        <v>Good</v>
      </c>
      <c r="I885">
        <v>129</v>
      </c>
      <c r="K885" s="3">
        <v>29378862</v>
      </c>
      <c r="L885" s="3">
        <v>22585908</v>
      </c>
      <c r="M885" s="3">
        <f t="shared" si="54"/>
        <v>6792954</v>
      </c>
      <c r="N885" t="s">
        <v>665</v>
      </c>
      <c r="O885" t="s">
        <v>666</v>
      </c>
      <c r="P885" t="s">
        <v>11</v>
      </c>
      <c r="Q885" t="str">
        <f t="shared" si="55"/>
        <v>Kid</v>
      </c>
    </row>
    <row r="886" spans="1:17" x14ac:dyDescent="0.3">
      <c r="A886" t="s">
        <v>667</v>
      </c>
      <c r="B886">
        <v>2024</v>
      </c>
      <c r="C886" s="5" t="s">
        <v>640</v>
      </c>
      <c r="D886" t="s">
        <v>65</v>
      </c>
      <c r="E886" s="4">
        <v>6.1</v>
      </c>
      <c r="F886" t="str">
        <f t="shared" si="52"/>
        <v>Don't Watch</v>
      </c>
      <c r="G886" t="str">
        <f t="shared" si="53"/>
        <v>Avg</v>
      </c>
      <c r="H886" t="str" cm="1">
        <f t="array" ref="H886">_xlfn.IFS(E886&gt;8,"Best",E886=7,"Good",E886&gt;7,"Good",E886&lt;7,"Avg",E886&lt;6,"Below Avg")</f>
        <v>Avg</v>
      </c>
      <c r="I886">
        <v>103</v>
      </c>
      <c r="K886" s="3">
        <v>27792354</v>
      </c>
      <c r="L886" s="3">
        <v>21528236</v>
      </c>
      <c r="M886" s="3">
        <f t="shared" si="54"/>
        <v>6264118</v>
      </c>
      <c r="O886" t="s">
        <v>396</v>
      </c>
      <c r="P886" t="s">
        <v>11</v>
      </c>
      <c r="Q886" t="str">
        <f t="shared" si="55"/>
        <v>Kid</v>
      </c>
    </row>
    <row r="887" spans="1:17" x14ac:dyDescent="0.3">
      <c r="A887" t="s">
        <v>668</v>
      </c>
      <c r="B887">
        <v>2024</v>
      </c>
      <c r="C887" s="5" t="s">
        <v>640</v>
      </c>
      <c r="D887" t="s">
        <v>27</v>
      </c>
      <c r="E887" s="4">
        <v>6.2</v>
      </c>
      <c r="F887" t="str">
        <f t="shared" si="52"/>
        <v>Don't Watch</v>
      </c>
      <c r="G887" t="str">
        <f t="shared" si="53"/>
        <v>Avg</v>
      </c>
      <c r="H887" t="str" cm="1">
        <f t="array" ref="H887">_xlfn.IFS(E887&gt;8,"Best",E887=7,"Good",E887&gt;7,"Good",E887&lt;7,"Avg",E887&lt;6,"Below Avg")</f>
        <v>Avg</v>
      </c>
      <c r="I887">
        <v>164</v>
      </c>
      <c r="K887" s="3">
        <v>29995467</v>
      </c>
      <c r="L887" s="3">
        <v>22996978</v>
      </c>
      <c r="M887" s="3">
        <f t="shared" si="54"/>
        <v>6998489</v>
      </c>
      <c r="N887" t="s">
        <v>669</v>
      </c>
      <c r="O887" t="s">
        <v>497</v>
      </c>
      <c r="P887" t="s">
        <v>11</v>
      </c>
      <c r="Q887" t="str">
        <f t="shared" si="55"/>
        <v>Kid</v>
      </c>
    </row>
    <row r="888" spans="1:17" x14ac:dyDescent="0.3">
      <c r="A888" t="s">
        <v>670</v>
      </c>
      <c r="B888">
        <v>2024</v>
      </c>
      <c r="C888" s="5" t="s">
        <v>640</v>
      </c>
      <c r="D888" t="s">
        <v>8</v>
      </c>
      <c r="E888" s="4">
        <v>7.8</v>
      </c>
      <c r="F888" t="str">
        <f t="shared" si="52"/>
        <v>Watch</v>
      </c>
      <c r="G888" t="str">
        <f t="shared" si="53"/>
        <v>Good</v>
      </c>
      <c r="H888" t="str" cm="1">
        <f t="array" ref="H888">_xlfn.IFS(E888&gt;8,"Best",E888=7,"Good",E888&gt;7,"Good",E888&lt;7,"Avg",E888&lt;6,"Below Avg")</f>
        <v>Good</v>
      </c>
      <c r="I888">
        <v>147</v>
      </c>
      <c r="K888" s="3">
        <v>29938806</v>
      </c>
      <c r="L888" s="3">
        <v>22959204</v>
      </c>
      <c r="M888" s="3">
        <f t="shared" si="54"/>
        <v>6979602</v>
      </c>
      <c r="N888" t="s">
        <v>671</v>
      </c>
      <c r="O888" t="s">
        <v>672</v>
      </c>
      <c r="P888" t="s">
        <v>11</v>
      </c>
      <c r="Q888" t="str">
        <f t="shared" si="55"/>
        <v>Kid</v>
      </c>
    </row>
    <row r="889" spans="1:17" x14ac:dyDescent="0.3">
      <c r="A889" t="s">
        <v>673</v>
      </c>
      <c r="B889">
        <v>2024</v>
      </c>
      <c r="C889" s="5" t="s">
        <v>640</v>
      </c>
      <c r="D889" t="s">
        <v>8</v>
      </c>
      <c r="E889" s="4">
        <v>9.1</v>
      </c>
      <c r="F889" t="str">
        <f t="shared" si="52"/>
        <v>Watch</v>
      </c>
      <c r="G889" t="str">
        <f t="shared" si="53"/>
        <v>Best</v>
      </c>
      <c r="H889" t="str" cm="1">
        <f t="array" ref="H889">_xlfn.IFS(E889&gt;8,"Best",E889=7,"Good",E889&gt;7,"Good",E889&lt;7,"Avg",E889&lt;6,"Below Avg")</f>
        <v>Best</v>
      </c>
      <c r="I889">
        <v>127</v>
      </c>
      <c r="K889" s="3">
        <v>27122421</v>
      </c>
      <c r="L889" s="3">
        <v>21081614</v>
      </c>
      <c r="M889" s="3">
        <f t="shared" si="54"/>
        <v>6040807</v>
      </c>
      <c r="O889" t="s">
        <v>487</v>
      </c>
      <c r="P889" t="s">
        <v>11</v>
      </c>
      <c r="Q889" t="str">
        <f t="shared" si="55"/>
        <v>Kid</v>
      </c>
    </row>
    <row r="890" spans="1:17" x14ac:dyDescent="0.3">
      <c r="A890" t="s">
        <v>678</v>
      </c>
      <c r="B890">
        <v>2024</v>
      </c>
      <c r="C890" s="5" t="s">
        <v>640</v>
      </c>
      <c r="D890" t="s">
        <v>27</v>
      </c>
      <c r="E890" s="4">
        <v>9</v>
      </c>
      <c r="F890" t="str">
        <f t="shared" si="52"/>
        <v>Watch</v>
      </c>
      <c r="G890" t="str">
        <f t="shared" si="53"/>
        <v>Best</v>
      </c>
      <c r="H890" t="str" cm="1">
        <f t="array" ref="H890">_xlfn.IFS(E890&gt;8,"Best",E890=7,"Good",E890&gt;7,"Good",E890&lt;7,"Avg",E890&lt;6,"Below Avg")</f>
        <v>Best</v>
      </c>
      <c r="I890">
        <v>150</v>
      </c>
      <c r="K890" s="3">
        <v>27449055</v>
      </c>
      <c r="L890" s="3">
        <v>21299370</v>
      </c>
      <c r="M890" s="3">
        <f t="shared" si="54"/>
        <v>6149685</v>
      </c>
      <c r="N890" t="s">
        <v>679</v>
      </c>
      <c r="O890" t="s">
        <v>680</v>
      </c>
      <c r="P890" t="s">
        <v>11</v>
      </c>
      <c r="Q890" t="str">
        <f t="shared" si="55"/>
        <v>Kid</v>
      </c>
    </row>
    <row r="891" spans="1:17" x14ac:dyDescent="0.3">
      <c r="A891" t="s">
        <v>681</v>
      </c>
      <c r="B891">
        <v>2024</v>
      </c>
      <c r="C891" s="5" t="s">
        <v>640</v>
      </c>
      <c r="D891" t="s">
        <v>23</v>
      </c>
      <c r="E891" s="4">
        <v>6.3</v>
      </c>
      <c r="F891" t="str">
        <f t="shared" si="52"/>
        <v>Don't Watch</v>
      </c>
      <c r="G891" t="str">
        <f t="shared" si="53"/>
        <v>Avg</v>
      </c>
      <c r="H891" t="str" cm="1">
        <f t="array" ref="H891">_xlfn.IFS(E891&gt;8,"Best",E891=7,"Good",E891&gt;7,"Good",E891&lt;7,"Avg",E891&lt;6,"Below Avg")</f>
        <v>Avg</v>
      </c>
      <c r="I891">
        <v>147</v>
      </c>
      <c r="K891" s="3">
        <v>27689031</v>
      </c>
      <c r="L891" s="3">
        <v>21459354</v>
      </c>
      <c r="M891" s="3">
        <f t="shared" si="54"/>
        <v>6229677</v>
      </c>
      <c r="N891" t="s">
        <v>682</v>
      </c>
      <c r="O891" t="s">
        <v>120</v>
      </c>
      <c r="P891" t="s">
        <v>11</v>
      </c>
      <c r="Q891" t="str">
        <f t="shared" si="55"/>
        <v>Kid</v>
      </c>
    </row>
    <row r="892" spans="1:17" x14ac:dyDescent="0.3">
      <c r="A892" t="s">
        <v>683</v>
      </c>
      <c r="B892">
        <v>2024</v>
      </c>
      <c r="C892" s="5" t="s">
        <v>640</v>
      </c>
      <c r="D892" t="s">
        <v>8</v>
      </c>
      <c r="E892" s="4">
        <v>7.2</v>
      </c>
      <c r="F892" t="str">
        <f t="shared" si="52"/>
        <v>Watch</v>
      </c>
      <c r="G892" t="str">
        <f t="shared" si="53"/>
        <v>Good</v>
      </c>
      <c r="H892" t="str" cm="1">
        <f t="array" ref="H892">_xlfn.IFS(E892&gt;8,"Best",E892=7,"Good",E892&gt;7,"Good",E892&lt;7,"Avg",E892&lt;6,"Below Avg")</f>
        <v>Good</v>
      </c>
      <c r="I892">
        <v>159</v>
      </c>
      <c r="K892" s="3">
        <v>26729127</v>
      </c>
      <c r="L892" s="3">
        <v>20819418</v>
      </c>
      <c r="M892" s="3">
        <f t="shared" si="54"/>
        <v>5909709</v>
      </c>
      <c r="N892" t="s">
        <v>684</v>
      </c>
      <c r="O892" t="s">
        <v>572</v>
      </c>
      <c r="P892" t="s">
        <v>11</v>
      </c>
      <c r="Q892" t="str">
        <f t="shared" si="55"/>
        <v>Kid</v>
      </c>
    </row>
    <row r="893" spans="1:17" x14ac:dyDescent="0.3">
      <c r="A893" t="s">
        <v>685</v>
      </c>
      <c r="B893">
        <v>2024</v>
      </c>
      <c r="C893" s="5" t="s">
        <v>640</v>
      </c>
      <c r="D893" t="s">
        <v>8</v>
      </c>
      <c r="E893" s="4">
        <v>8.3000000000000007</v>
      </c>
      <c r="F893" t="str">
        <f t="shared" si="52"/>
        <v>Watch</v>
      </c>
      <c r="G893" t="str">
        <f t="shared" si="53"/>
        <v>Good</v>
      </c>
      <c r="H893" t="str" cm="1">
        <f t="array" ref="H893">_xlfn.IFS(E893&gt;8,"Best",E893=7,"Good",E893&gt;7,"Good",E893&lt;7,"Avg",E893&lt;6,"Below Avg")</f>
        <v>Best</v>
      </c>
      <c r="I893">
        <v>158</v>
      </c>
      <c r="K893" s="3">
        <v>30725394</v>
      </c>
      <c r="L893" s="3">
        <v>23483596</v>
      </c>
      <c r="M893" s="3">
        <f t="shared" si="54"/>
        <v>7241798</v>
      </c>
      <c r="N893" t="s">
        <v>686</v>
      </c>
      <c r="O893" t="s">
        <v>396</v>
      </c>
      <c r="P893" t="s">
        <v>11</v>
      </c>
      <c r="Q893" t="str">
        <f t="shared" si="55"/>
        <v>Kid</v>
      </c>
    </row>
    <row r="894" spans="1:17" x14ac:dyDescent="0.3">
      <c r="A894" t="s">
        <v>687</v>
      </c>
      <c r="B894">
        <v>2024</v>
      </c>
      <c r="C894" s="5" t="s">
        <v>640</v>
      </c>
      <c r="D894" t="s">
        <v>8</v>
      </c>
      <c r="E894" s="4">
        <v>7.4</v>
      </c>
      <c r="F894" t="str">
        <f t="shared" si="52"/>
        <v>Watch</v>
      </c>
      <c r="G894" t="str">
        <f t="shared" si="53"/>
        <v>Good</v>
      </c>
      <c r="H894" t="str" cm="1">
        <f t="array" ref="H894">_xlfn.IFS(E894&gt;8,"Best",E894=7,"Good",E894&gt;7,"Good",E894&lt;7,"Avg",E894&lt;6,"Below Avg")</f>
        <v>Good</v>
      </c>
      <c r="I894">
        <v>110</v>
      </c>
      <c r="K894" s="3">
        <v>27065760</v>
      </c>
      <c r="L894" s="3">
        <v>21043840</v>
      </c>
      <c r="M894" s="3">
        <f t="shared" si="54"/>
        <v>6021920</v>
      </c>
      <c r="O894" t="s">
        <v>688</v>
      </c>
      <c r="P894" t="s">
        <v>11</v>
      </c>
      <c r="Q894" t="str">
        <f t="shared" si="55"/>
        <v>Kid</v>
      </c>
    </row>
    <row r="895" spans="1:17" x14ac:dyDescent="0.3">
      <c r="A895" t="s">
        <v>689</v>
      </c>
      <c r="B895">
        <v>2024</v>
      </c>
      <c r="C895" s="5" t="s">
        <v>640</v>
      </c>
      <c r="D895" t="s">
        <v>127</v>
      </c>
      <c r="E895" s="4">
        <v>6.1</v>
      </c>
      <c r="F895" t="str">
        <f t="shared" si="52"/>
        <v>Don't Watch</v>
      </c>
      <c r="G895" t="str">
        <f t="shared" si="53"/>
        <v>Avg</v>
      </c>
      <c r="H895" t="str" cm="1">
        <f t="array" ref="H895">_xlfn.IFS(E895&gt;8,"Best",E895=7,"Good",E895&gt;7,"Good",E895&lt;7,"Avg",E895&lt;6,"Below Avg")</f>
        <v>Avg</v>
      </c>
      <c r="I895">
        <v>163</v>
      </c>
      <c r="K895" s="3">
        <v>29992134</v>
      </c>
      <c r="L895" s="3">
        <v>22994756</v>
      </c>
      <c r="M895" s="3">
        <f t="shared" si="54"/>
        <v>6997378</v>
      </c>
      <c r="O895" t="s">
        <v>690</v>
      </c>
      <c r="P895" t="s">
        <v>11</v>
      </c>
      <c r="Q895" t="str">
        <f t="shared" si="55"/>
        <v>Kid</v>
      </c>
    </row>
    <row r="896" spans="1:17" x14ac:dyDescent="0.3">
      <c r="A896" t="s">
        <v>580</v>
      </c>
      <c r="B896">
        <v>2024</v>
      </c>
      <c r="C896" s="5" t="s">
        <v>581</v>
      </c>
      <c r="D896" t="s">
        <v>27</v>
      </c>
      <c r="E896" s="4">
        <v>6.8</v>
      </c>
      <c r="F896" t="str">
        <f t="shared" si="52"/>
        <v>Watch</v>
      </c>
      <c r="G896" t="str">
        <f t="shared" si="53"/>
        <v>Avg</v>
      </c>
      <c r="H896" t="str" cm="1">
        <f t="array" ref="H896">_xlfn.IFS(E896&gt;8,"Best",E896=7,"Good",E896&gt;7,"Good",E896&lt;7,"Avg",E896&lt;6,"Below Avg")</f>
        <v>Avg</v>
      </c>
      <c r="I896">
        <v>113</v>
      </c>
      <c r="K896" s="3">
        <v>32325234</v>
      </c>
      <c r="L896" s="3">
        <v>24550156</v>
      </c>
      <c r="M896" s="3">
        <f t="shared" si="54"/>
        <v>7775078</v>
      </c>
      <c r="N896" t="s">
        <v>582</v>
      </c>
      <c r="O896" t="s">
        <v>583</v>
      </c>
      <c r="P896" t="s">
        <v>11</v>
      </c>
      <c r="Q896" t="str">
        <f t="shared" si="55"/>
        <v>Kid</v>
      </c>
    </row>
    <row r="897" spans="1:20" x14ac:dyDescent="0.3">
      <c r="A897" t="s">
        <v>604</v>
      </c>
      <c r="B897">
        <v>2024</v>
      </c>
      <c r="C897" s="5" t="s">
        <v>581</v>
      </c>
      <c r="D897" t="s">
        <v>232</v>
      </c>
      <c r="E897" s="4">
        <v>6.2</v>
      </c>
      <c r="F897" t="str">
        <f t="shared" si="52"/>
        <v>Don't Watch</v>
      </c>
      <c r="G897" t="str">
        <f t="shared" si="53"/>
        <v>Avg</v>
      </c>
      <c r="H897" t="str" cm="1">
        <f t="array" ref="H897">_xlfn.IFS(E897&gt;8,"Best",E897=7,"Good",E897&gt;7,"Good",E897&lt;7,"Avg",E897&lt;6,"Below Avg")</f>
        <v>Avg</v>
      </c>
      <c r="I897">
        <v>122</v>
      </c>
      <c r="K897" s="3">
        <v>30105456</v>
      </c>
      <c r="L897" s="3">
        <v>23070304</v>
      </c>
      <c r="M897" s="3">
        <f t="shared" si="54"/>
        <v>7035152</v>
      </c>
      <c r="N897" t="s">
        <v>605</v>
      </c>
      <c r="O897" t="s">
        <v>606</v>
      </c>
      <c r="P897" t="s">
        <v>11</v>
      </c>
      <c r="Q897" t="str">
        <f t="shared" si="55"/>
        <v>Kid</v>
      </c>
    </row>
    <row r="898" spans="1:20" x14ac:dyDescent="0.3">
      <c r="A898" t="s">
        <v>616</v>
      </c>
      <c r="B898">
        <v>2024</v>
      </c>
      <c r="C898" s="5" t="s">
        <v>581</v>
      </c>
      <c r="D898" t="s">
        <v>39</v>
      </c>
      <c r="E898" s="4">
        <v>8.8000000000000007</v>
      </c>
      <c r="F898" t="str">
        <f t="shared" ref="F898:F917" si="56">IF(E898&gt;6.5,"Watch","Don't Watch")</f>
        <v>Watch</v>
      </c>
      <c r="G898" t="str">
        <f t="shared" ref="G898:G917" si="57">IF(E898&gt;8.5,"Best",IF(E898&gt;7,"Good",IF(E898&gt;5,"Avg",IF(E898&lt;5,"Below Avg",IF(E898&lt;3,"Bad",)))))</f>
        <v>Best</v>
      </c>
      <c r="H898" t="str" cm="1">
        <f t="array" ref="H898">_xlfn.IFS(E898&gt;8,"Best",E898=7,"Good",E898&gt;7,"Good",E898&lt;7,"Avg",E898&lt;6,"Below Avg")</f>
        <v>Best</v>
      </c>
      <c r="I898">
        <v>154</v>
      </c>
      <c r="K898" s="3">
        <v>28212312</v>
      </c>
      <c r="L898" s="3">
        <v>21808208</v>
      </c>
      <c r="M898" s="3">
        <f t="shared" ref="M898:M961" si="58" xml:space="preserve"> (K898-L898)</f>
        <v>6404104</v>
      </c>
      <c r="N898" t="s">
        <v>617</v>
      </c>
      <c r="O898" t="s">
        <v>618</v>
      </c>
      <c r="P898" t="s">
        <v>11</v>
      </c>
      <c r="Q898" t="str">
        <f t="shared" ref="Q898:Q917" si="59">IF(P898="R","Adult","Kid")</f>
        <v>Kid</v>
      </c>
    </row>
    <row r="899" spans="1:20" x14ac:dyDescent="0.3">
      <c r="A899" t="s">
        <v>621</v>
      </c>
      <c r="B899">
        <v>2024</v>
      </c>
      <c r="C899" s="5" t="s">
        <v>581</v>
      </c>
      <c r="D899" t="s">
        <v>8</v>
      </c>
      <c r="E899" s="4">
        <v>7.7</v>
      </c>
      <c r="F899" t="str">
        <f t="shared" si="56"/>
        <v>Watch</v>
      </c>
      <c r="G899" t="str">
        <f t="shared" si="57"/>
        <v>Good</v>
      </c>
      <c r="H899" t="str" cm="1">
        <f t="array" ref="H899">_xlfn.IFS(E899&gt;8,"Best",E899=7,"Good",E899&gt;7,"Good",E899&lt;7,"Avg",E899&lt;6,"Below Avg")</f>
        <v>Good</v>
      </c>
      <c r="I899">
        <v>143</v>
      </c>
      <c r="K899" s="3">
        <v>28175649</v>
      </c>
      <c r="L899" s="3">
        <v>21783766</v>
      </c>
      <c r="M899" s="3">
        <f t="shared" si="58"/>
        <v>6391883</v>
      </c>
      <c r="N899" t="s">
        <v>622</v>
      </c>
      <c r="O899" t="s">
        <v>623</v>
      </c>
      <c r="P899" t="s">
        <v>11</v>
      </c>
      <c r="Q899" t="str">
        <f t="shared" si="59"/>
        <v>Kid</v>
      </c>
      <c r="T899" s="2"/>
    </row>
    <row r="900" spans="1:20" x14ac:dyDescent="0.3">
      <c r="A900" t="s">
        <v>584</v>
      </c>
      <c r="B900">
        <v>2024</v>
      </c>
      <c r="C900" s="5" t="s">
        <v>581</v>
      </c>
      <c r="D900" t="s">
        <v>148</v>
      </c>
      <c r="E900" s="4">
        <v>7.7</v>
      </c>
      <c r="F900" t="str">
        <f t="shared" si="56"/>
        <v>Watch</v>
      </c>
      <c r="G900" t="str">
        <f t="shared" si="57"/>
        <v>Good</v>
      </c>
      <c r="H900" t="str" cm="1">
        <f t="array" ref="H900">_xlfn.IFS(E900&gt;8,"Best",E900=7,"Good",E900&gt;7,"Good",E900&lt;7,"Avg",E900&lt;6,"Below Avg")</f>
        <v>Good</v>
      </c>
      <c r="I900">
        <v>164</v>
      </c>
      <c r="K900" s="3">
        <v>44159195</v>
      </c>
      <c r="L900" s="3">
        <v>12256066</v>
      </c>
      <c r="M900" s="3">
        <f t="shared" si="58"/>
        <v>31903129</v>
      </c>
      <c r="O900" t="s">
        <v>396</v>
      </c>
      <c r="P900" t="s">
        <v>4</v>
      </c>
      <c r="Q900" t="str">
        <f t="shared" si="59"/>
        <v>Adult</v>
      </c>
    </row>
    <row r="901" spans="1:20" x14ac:dyDescent="0.3">
      <c r="A901" t="s">
        <v>585</v>
      </c>
      <c r="B901">
        <v>2024</v>
      </c>
      <c r="C901" s="5" t="s">
        <v>581</v>
      </c>
      <c r="D901" t="s">
        <v>304</v>
      </c>
      <c r="E901" s="4">
        <v>8.5</v>
      </c>
      <c r="F901" t="str">
        <f t="shared" si="56"/>
        <v>Watch</v>
      </c>
      <c r="G901" t="str">
        <f t="shared" si="57"/>
        <v>Good</v>
      </c>
      <c r="H901" t="str" cm="1">
        <f t="array" ref="H901">_xlfn.IFS(E901&gt;8,"Best",E901=7,"Good",E901&gt;7,"Good",E901&lt;7,"Avg",E901&lt;6,"Below Avg")</f>
        <v>Best</v>
      </c>
      <c r="I901">
        <v>151</v>
      </c>
      <c r="K901" s="3">
        <v>28202313</v>
      </c>
      <c r="L901" s="3">
        <v>21801542</v>
      </c>
      <c r="M901" s="3">
        <f t="shared" si="58"/>
        <v>6400771</v>
      </c>
      <c r="N901" t="s">
        <v>586</v>
      </c>
      <c r="O901" t="s">
        <v>587</v>
      </c>
      <c r="P901" t="s">
        <v>11</v>
      </c>
      <c r="Q901" t="str">
        <f t="shared" si="59"/>
        <v>Kid</v>
      </c>
    </row>
    <row r="902" spans="1:20" x14ac:dyDescent="0.3">
      <c r="A902" t="s">
        <v>588</v>
      </c>
      <c r="B902">
        <v>2024</v>
      </c>
      <c r="C902" s="5" t="s">
        <v>581</v>
      </c>
      <c r="D902" t="s">
        <v>8</v>
      </c>
      <c r="E902" s="4">
        <v>9.1999999999999993</v>
      </c>
      <c r="F902" t="str">
        <f t="shared" si="56"/>
        <v>Watch</v>
      </c>
      <c r="G902" t="str">
        <f t="shared" si="57"/>
        <v>Best</v>
      </c>
      <c r="H902" t="str" cm="1">
        <f t="array" ref="H902">_xlfn.IFS(E902&gt;8,"Best",E902=7,"Good",E902&gt;7,"Good",E902&lt;7,"Avg",E902&lt;6,"Below Avg")</f>
        <v>Best</v>
      </c>
      <c r="I902">
        <v>119</v>
      </c>
      <c r="K902" s="3">
        <v>30095457</v>
      </c>
      <c r="L902" s="3">
        <v>23063638</v>
      </c>
      <c r="M902" s="3">
        <f t="shared" si="58"/>
        <v>7031819</v>
      </c>
      <c r="N902" t="s">
        <v>589</v>
      </c>
      <c r="O902" t="s">
        <v>590</v>
      </c>
      <c r="P902" t="s">
        <v>11</v>
      </c>
      <c r="Q902" t="str">
        <f t="shared" si="59"/>
        <v>Kid</v>
      </c>
    </row>
    <row r="903" spans="1:20" x14ac:dyDescent="0.3">
      <c r="A903" t="s">
        <v>591</v>
      </c>
      <c r="B903">
        <v>2024</v>
      </c>
      <c r="C903" s="5" t="s">
        <v>581</v>
      </c>
      <c r="D903" t="s">
        <v>65</v>
      </c>
      <c r="E903" s="4">
        <v>8.1999999999999993</v>
      </c>
      <c r="F903" t="str">
        <f t="shared" si="56"/>
        <v>Watch</v>
      </c>
      <c r="G903" t="str">
        <f t="shared" si="57"/>
        <v>Good</v>
      </c>
      <c r="H903" t="str" cm="1">
        <f t="array" ref="H903">_xlfn.IFS(E903&gt;8,"Best",E903=7,"Good",E903&gt;7,"Good",E903&lt;7,"Avg",E903&lt;6,"Below Avg")</f>
        <v>Best</v>
      </c>
      <c r="I903">
        <v>160</v>
      </c>
      <c r="K903" s="3">
        <v>29732160</v>
      </c>
      <c r="L903" s="3">
        <v>22821440</v>
      </c>
      <c r="M903" s="3">
        <f t="shared" si="58"/>
        <v>6910720</v>
      </c>
      <c r="N903" t="s">
        <v>592</v>
      </c>
      <c r="O903" t="s">
        <v>336</v>
      </c>
      <c r="P903" t="s">
        <v>11</v>
      </c>
      <c r="Q903" t="str">
        <f t="shared" si="59"/>
        <v>Kid</v>
      </c>
    </row>
    <row r="904" spans="1:20" x14ac:dyDescent="0.3">
      <c r="A904" t="s">
        <v>593</v>
      </c>
      <c r="B904">
        <v>2024</v>
      </c>
      <c r="C904" s="5" t="s">
        <v>581</v>
      </c>
      <c r="D904" t="s">
        <v>27</v>
      </c>
      <c r="E904" s="4">
        <v>6.1</v>
      </c>
      <c r="F904" t="str">
        <f t="shared" si="56"/>
        <v>Don't Watch</v>
      </c>
      <c r="G904" t="str">
        <f t="shared" si="57"/>
        <v>Avg</v>
      </c>
      <c r="H904" t="str" cm="1">
        <f t="array" ref="H904">_xlfn.IFS(E904&gt;8,"Best",E904=7,"Good",E904&gt;7,"Good",E904&lt;7,"Avg",E904&lt;6,"Below Avg")</f>
        <v>Avg</v>
      </c>
      <c r="I904">
        <v>106</v>
      </c>
      <c r="K904" s="3">
        <v>26802453</v>
      </c>
      <c r="L904" s="3">
        <v>20868302</v>
      </c>
      <c r="M904" s="3">
        <f t="shared" si="58"/>
        <v>5934151</v>
      </c>
      <c r="N904" t="s">
        <v>594</v>
      </c>
      <c r="O904" t="s">
        <v>595</v>
      </c>
      <c r="P904" t="s">
        <v>11</v>
      </c>
      <c r="Q904" t="str">
        <f t="shared" si="59"/>
        <v>Kid</v>
      </c>
    </row>
    <row r="905" spans="1:20" x14ac:dyDescent="0.3">
      <c r="A905" t="s">
        <v>596</v>
      </c>
      <c r="B905">
        <v>2024</v>
      </c>
      <c r="C905" s="5" t="s">
        <v>581</v>
      </c>
      <c r="D905" t="s">
        <v>304</v>
      </c>
      <c r="E905" s="4">
        <v>7.1</v>
      </c>
      <c r="F905" t="str">
        <f t="shared" si="56"/>
        <v>Watch</v>
      </c>
      <c r="G905" t="str">
        <f t="shared" si="57"/>
        <v>Good</v>
      </c>
      <c r="H905" t="str" cm="1">
        <f t="array" ref="H905">_xlfn.IFS(E905&gt;8,"Best",E905=7,"Good",E905&gt;7,"Good",E905&lt;7,"Avg",E905&lt;6,"Below Avg")</f>
        <v>Good</v>
      </c>
      <c r="I905">
        <v>116</v>
      </c>
      <c r="K905" s="3">
        <v>26835783</v>
      </c>
      <c r="L905" s="3">
        <v>20890522</v>
      </c>
      <c r="M905" s="3">
        <f t="shared" si="58"/>
        <v>5945261</v>
      </c>
      <c r="N905" t="s">
        <v>597</v>
      </c>
      <c r="O905" t="s">
        <v>598</v>
      </c>
      <c r="P905" t="s">
        <v>11</v>
      </c>
      <c r="Q905" t="str">
        <f t="shared" si="59"/>
        <v>Kid</v>
      </c>
    </row>
    <row r="906" spans="1:20" x14ac:dyDescent="0.3">
      <c r="A906" t="s">
        <v>599</v>
      </c>
      <c r="B906">
        <v>2024</v>
      </c>
      <c r="C906" s="5" t="s">
        <v>581</v>
      </c>
      <c r="D906" t="s">
        <v>85</v>
      </c>
      <c r="E906" s="4">
        <v>6.5</v>
      </c>
      <c r="F906" t="str">
        <f t="shared" si="56"/>
        <v>Don't Watch</v>
      </c>
      <c r="G906" t="str">
        <f t="shared" si="57"/>
        <v>Avg</v>
      </c>
      <c r="H906" t="str" cm="1">
        <f t="array" ref="H906">_xlfn.IFS(E906&gt;8,"Best",E906=7,"Good",E906&gt;7,"Good",E906&lt;7,"Avg",E906&lt;6,"Below Avg")</f>
        <v>Avg</v>
      </c>
      <c r="I906">
        <v>107</v>
      </c>
      <c r="K906" s="3">
        <v>41342810</v>
      </c>
      <c r="L906" s="3">
        <v>11630428</v>
      </c>
      <c r="M906" s="3">
        <f t="shared" si="58"/>
        <v>29712382</v>
      </c>
      <c r="N906" t="s">
        <v>600</v>
      </c>
      <c r="O906" t="s">
        <v>377</v>
      </c>
      <c r="P906" t="s">
        <v>4</v>
      </c>
      <c r="Q906" t="str">
        <f t="shared" si="59"/>
        <v>Adult</v>
      </c>
    </row>
    <row r="907" spans="1:20" x14ac:dyDescent="0.3">
      <c r="A907" t="s">
        <v>601</v>
      </c>
      <c r="B907">
        <v>2024</v>
      </c>
      <c r="C907" s="5" t="s">
        <v>581</v>
      </c>
      <c r="D907" t="s">
        <v>61</v>
      </c>
      <c r="E907" s="4">
        <v>7.9</v>
      </c>
      <c r="F907" t="str">
        <f t="shared" si="56"/>
        <v>Watch</v>
      </c>
      <c r="G907" t="str">
        <f t="shared" si="57"/>
        <v>Good</v>
      </c>
      <c r="H907" t="str" cm="1">
        <f t="array" ref="H907">_xlfn.IFS(E907&gt;8,"Best",E907=7,"Good",E907&gt;7,"Good",E907&lt;7,"Avg",E907&lt;6,"Below Avg")</f>
        <v>Good</v>
      </c>
      <c r="I907">
        <v>151</v>
      </c>
      <c r="K907" s="3">
        <v>28952238</v>
      </c>
      <c r="L907" s="3">
        <v>22301492</v>
      </c>
      <c r="M907" s="3">
        <f t="shared" si="58"/>
        <v>6650746</v>
      </c>
      <c r="N907" t="s">
        <v>602</v>
      </c>
      <c r="O907" t="s">
        <v>603</v>
      </c>
      <c r="P907" t="s">
        <v>11</v>
      </c>
      <c r="Q907" t="str">
        <f t="shared" si="59"/>
        <v>Kid</v>
      </c>
    </row>
    <row r="908" spans="1:20" x14ac:dyDescent="0.3">
      <c r="A908" t="s">
        <v>607</v>
      </c>
      <c r="B908">
        <v>2024</v>
      </c>
      <c r="C908" s="5" t="s">
        <v>581</v>
      </c>
      <c r="D908" t="s">
        <v>8</v>
      </c>
      <c r="E908" s="4">
        <v>6.6</v>
      </c>
      <c r="F908" t="str">
        <f t="shared" si="56"/>
        <v>Watch</v>
      </c>
      <c r="G908" t="str">
        <f t="shared" si="57"/>
        <v>Avg</v>
      </c>
      <c r="H908" t="str" cm="1">
        <f t="array" ref="H908">_xlfn.IFS(E908&gt;8,"Best",E908=7,"Good",E908&gt;7,"Good",E908&lt;7,"Avg",E908&lt;6,"Below Avg")</f>
        <v>Avg</v>
      </c>
      <c r="I908">
        <v>90</v>
      </c>
      <c r="K908" s="3">
        <v>28248975</v>
      </c>
      <c r="L908" s="3">
        <v>21832650</v>
      </c>
      <c r="M908" s="3">
        <f t="shared" si="58"/>
        <v>6416325</v>
      </c>
      <c r="N908" t="s">
        <v>608</v>
      </c>
      <c r="O908" t="s">
        <v>609</v>
      </c>
      <c r="P908" t="s">
        <v>11</v>
      </c>
      <c r="Q908" t="str">
        <f t="shared" si="59"/>
        <v>Kid</v>
      </c>
    </row>
    <row r="909" spans="1:20" x14ac:dyDescent="0.3">
      <c r="A909" t="s">
        <v>610</v>
      </c>
      <c r="B909">
        <v>2024</v>
      </c>
      <c r="C909" s="5" t="s">
        <v>581</v>
      </c>
      <c r="D909" t="s">
        <v>8</v>
      </c>
      <c r="E909" s="4">
        <v>9.1999999999999993</v>
      </c>
      <c r="F909" t="str">
        <f t="shared" si="56"/>
        <v>Watch</v>
      </c>
      <c r="G909" t="str">
        <f t="shared" si="57"/>
        <v>Best</v>
      </c>
      <c r="H909" t="str" cm="1">
        <f t="array" ref="H909">_xlfn.IFS(E909&gt;8,"Best",E909=7,"Good",E909&gt;7,"Good",E909&lt;7,"Avg",E909&lt;6,"Below Avg")</f>
        <v>Best</v>
      </c>
      <c r="I909">
        <v>146</v>
      </c>
      <c r="K909" s="3">
        <v>26685798</v>
      </c>
      <c r="L909" s="3">
        <v>20790532</v>
      </c>
      <c r="M909" s="3">
        <f t="shared" si="58"/>
        <v>5895266</v>
      </c>
      <c r="N909" t="s">
        <v>611</v>
      </c>
      <c r="O909" t="s">
        <v>612</v>
      </c>
      <c r="P909" t="s">
        <v>11</v>
      </c>
      <c r="Q909" t="str">
        <f t="shared" si="59"/>
        <v>Kid</v>
      </c>
    </row>
    <row r="910" spans="1:20" x14ac:dyDescent="0.3">
      <c r="A910" t="s">
        <v>613</v>
      </c>
      <c r="B910">
        <v>2024</v>
      </c>
      <c r="C910" s="5" t="s">
        <v>581</v>
      </c>
      <c r="D910" t="s">
        <v>61</v>
      </c>
      <c r="E910" s="4">
        <v>6</v>
      </c>
      <c r="F910" t="str">
        <f t="shared" si="56"/>
        <v>Don't Watch</v>
      </c>
      <c r="G910" t="str">
        <f t="shared" si="57"/>
        <v>Avg</v>
      </c>
      <c r="H910" t="str" cm="1">
        <f t="array" ref="H910">_xlfn.IFS(E910&gt;8,"Best",E910=7,"Good",E910&gt;7,"Good",E910&lt;7,"Avg",E910&lt;6,"Below Avg")</f>
        <v>Avg</v>
      </c>
      <c r="I910">
        <v>111</v>
      </c>
      <c r="K910" s="3">
        <v>30318768</v>
      </c>
      <c r="L910" s="3">
        <v>23212512</v>
      </c>
      <c r="M910" s="3">
        <f t="shared" si="58"/>
        <v>7106256</v>
      </c>
      <c r="N910" t="s">
        <v>614</v>
      </c>
      <c r="O910" t="s">
        <v>615</v>
      </c>
      <c r="P910" t="s">
        <v>11</v>
      </c>
      <c r="Q910" t="str">
        <f t="shared" si="59"/>
        <v>Kid</v>
      </c>
    </row>
    <row r="911" spans="1:20" x14ac:dyDescent="0.3">
      <c r="A911" t="s">
        <v>619</v>
      </c>
      <c r="B911">
        <v>2024</v>
      </c>
      <c r="C911" s="5" t="s">
        <v>581</v>
      </c>
      <c r="D911" t="s">
        <v>39</v>
      </c>
      <c r="E911" s="4">
        <v>9.1</v>
      </c>
      <c r="F911" t="str">
        <f t="shared" si="56"/>
        <v>Watch</v>
      </c>
      <c r="G911" t="str">
        <f t="shared" si="57"/>
        <v>Best</v>
      </c>
      <c r="H911" t="str" cm="1">
        <f t="array" ref="H911">_xlfn.IFS(E911&gt;8,"Best",E911=7,"Good",E911&gt;7,"Good",E911&lt;7,"Avg",E911&lt;6,"Below Avg")</f>
        <v>Best</v>
      </c>
      <c r="I911">
        <v>154</v>
      </c>
      <c r="K911" s="3">
        <v>29212212</v>
      </c>
      <c r="L911" s="3">
        <v>22474808</v>
      </c>
      <c r="M911" s="3">
        <f t="shared" si="58"/>
        <v>6737404</v>
      </c>
      <c r="N911" t="s">
        <v>620</v>
      </c>
      <c r="O911" t="s">
        <v>3</v>
      </c>
      <c r="P911" t="s">
        <v>11</v>
      </c>
      <c r="Q911" t="str">
        <f t="shared" si="59"/>
        <v>Kid</v>
      </c>
    </row>
    <row r="912" spans="1:20" x14ac:dyDescent="0.3">
      <c r="A912" t="s">
        <v>624</v>
      </c>
      <c r="B912">
        <v>2024</v>
      </c>
      <c r="C912" s="5" t="s">
        <v>581</v>
      </c>
      <c r="D912" t="s">
        <v>8</v>
      </c>
      <c r="E912" s="4">
        <v>6.8</v>
      </c>
      <c r="F912" t="str">
        <f t="shared" si="56"/>
        <v>Watch</v>
      </c>
      <c r="G912" t="str">
        <f t="shared" si="57"/>
        <v>Avg</v>
      </c>
      <c r="H912" t="str" cm="1">
        <f t="array" ref="H912">_xlfn.IFS(E912&gt;8,"Best",E912=7,"Good",E912&gt;7,"Good",E912&lt;7,"Avg",E912&lt;6,"Below Avg")</f>
        <v>Avg</v>
      </c>
      <c r="I912">
        <v>122</v>
      </c>
      <c r="K912" s="3">
        <v>29355531</v>
      </c>
      <c r="L912" s="3">
        <v>22570354</v>
      </c>
      <c r="M912" s="3">
        <f t="shared" si="58"/>
        <v>6785177</v>
      </c>
      <c r="O912" t="s">
        <v>625</v>
      </c>
      <c r="P912" t="s">
        <v>11</v>
      </c>
      <c r="Q912" t="str">
        <f t="shared" si="59"/>
        <v>Kid</v>
      </c>
    </row>
    <row r="913" spans="1:17" x14ac:dyDescent="0.3">
      <c r="A913" t="s">
        <v>626</v>
      </c>
      <c r="B913">
        <v>2024</v>
      </c>
      <c r="C913" s="5" t="s">
        <v>581</v>
      </c>
      <c r="D913" t="s">
        <v>8</v>
      </c>
      <c r="E913" s="4">
        <v>7.4</v>
      </c>
      <c r="F913" t="str">
        <f t="shared" si="56"/>
        <v>Watch</v>
      </c>
      <c r="G913" t="str">
        <f t="shared" si="57"/>
        <v>Good</v>
      </c>
      <c r="H913" t="str" cm="1">
        <f t="array" ref="H913">_xlfn.IFS(E913&gt;8,"Best",E913=7,"Good",E913&gt;7,"Good",E913&lt;7,"Avg",E913&lt;6,"Below Avg")</f>
        <v>Good</v>
      </c>
      <c r="I913">
        <v>131</v>
      </c>
      <c r="K913" s="3">
        <v>28385628</v>
      </c>
      <c r="L913" s="3">
        <v>21923752</v>
      </c>
      <c r="M913" s="3">
        <f t="shared" si="58"/>
        <v>6461876</v>
      </c>
      <c r="O913" t="s">
        <v>627</v>
      </c>
      <c r="P913" t="s">
        <v>11</v>
      </c>
      <c r="Q913" t="str">
        <f t="shared" si="59"/>
        <v>Kid</v>
      </c>
    </row>
    <row r="914" spans="1:17" x14ac:dyDescent="0.3">
      <c r="A914" t="s">
        <v>628</v>
      </c>
      <c r="B914">
        <v>2024</v>
      </c>
      <c r="C914" s="5" t="s">
        <v>581</v>
      </c>
      <c r="D914" t="s">
        <v>8</v>
      </c>
      <c r="E914" s="4">
        <v>6.1</v>
      </c>
      <c r="F914" t="str">
        <f t="shared" si="56"/>
        <v>Don't Watch</v>
      </c>
      <c r="G914" t="str">
        <f t="shared" si="57"/>
        <v>Avg</v>
      </c>
      <c r="H914" t="str" cm="1">
        <f t="array" ref="H914">_xlfn.IFS(E914&gt;8,"Best",E914=7,"Good",E914&gt;7,"Good",E914&lt;7,"Avg",E914&lt;6,"Below Avg")</f>
        <v>Avg</v>
      </c>
      <c r="I914">
        <v>130</v>
      </c>
      <c r="K914" s="3">
        <v>27132420</v>
      </c>
      <c r="L914" s="3">
        <v>21088280</v>
      </c>
      <c r="M914" s="3">
        <f t="shared" si="58"/>
        <v>6044140</v>
      </c>
      <c r="O914" t="s">
        <v>629</v>
      </c>
      <c r="P914" t="s">
        <v>11</v>
      </c>
      <c r="Q914" t="str">
        <f t="shared" si="59"/>
        <v>Kid</v>
      </c>
    </row>
    <row r="915" spans="1:17" x14ac:dyDescent="0.3">
      <c r="A915" t="s">
        <v>630</v>
      </c>
      <c r="B915">
        <v>2024</v>
      </c>
      <c r="C915" s="5" t="s">
        <v>581</v>
      </c>
      <c r="D915" t="s">
        <v>2</v>
      </c>
      <c r="E915" s="4">
        <v>8.1999999999999993</v>
      </c>
      <c r="F915" t="str">
        <f t="shared" si="56"/>
        <v>Watch</v>
      </c>
      <c r="G915" t="str">
        <f t="shared" si="57"/>
        <v>Good</v>
      </c>
      <c r="H915" t="str" cm="1">
        <f t="array" ref="H915">_xlfn.IFS(E915&gt;8,"Best",E915=7,"Good",E915&gt;7,"Good",E915&lt;7,"Avg",E915&lt;6,"Below Avg")</f>
        <v>Best</v>
      </c>
      <c r="I915">
        <v>94</v>
      </c>
      <c r="K915" s="3">
        <v>48769845</v>
      </c>
      <c r="L915" s="3">
        <v>13280286</v>
      </c>
      <c r="M915" s="3">
        <f t="shared" si="58"/>
        <v>35489559</v>
      </c>
      <c r="N915" t="s">
        <v>631</v>
      </c>
      <c r="O915" t="s">
        <v>632</v>
      </c>
      <c r="P915" t="s">
        <v>4</v>
      </c>
      <c r="Q915" t="str">
        <f t="shared" si="59"/>
        <v>Adult</v>
      </c>
    </row>
    <row r="916" spans="1:17" x14ac:dyDescent="0.3">
      <c r="A916" t="s">
        <v>633</v>
      </c>
      <c r="B916">
        <v>2024</v>
      </c>
      <c r="C916" s="5" t="s">
        <v>581</v>
      </c>
      <c r="D916" t="s">
        <v>2</v>
      </c>
      <c r="E916" s="4">
        <v>8.4</v>
      </c>
      <c r="F916" t="str">
        <f t="shared" si="56"/>
        <v>Watch</v>
      </c>
      <c r="G916" t="str">
        <f t="shared" si="57"/>
        <v>Good</v>
      </c>
      <c r="H916" t="str" cm="1">
        <f t="array" ref="H916">_xlfn.IFS(E916&gt;8,"Best",E916=7,"Good",E916&gt;7,"Good",E916&lt;7,"Avg",E916&lt;6,"Below Avg")</f>
        <v>Best</v>
      </c>
      <c r="I916">
        <v>96</v>
      </c>
      <c r="K916" s="3">
        <v>39615205</v>
      </c>
      <c r="L916" s="3">
        <v>11246654</v>
      </c>
      <c r="M916" s="3">
        <f t="shared" si="58"/>
        <v>28368551</v>
      </c>
      <c r="N916" t="s">
        <v>634</v>
      </c>
      <c r="O916" t="s">
        <v>635</v>
      </c>
      <c r="P916" t="s">
        <v>4</v>
      </c>
      <c r="Q916" t="str">
        <f t="shared" si="59"/>
        <v>Adult</v>
      </c>
    </row>
    <row r="917" spans="1:17" x14ac:dyDescent="0.3">
      <c r="A917" t="s">
        <v>636</v>
      </c>
      <c r="B917">
        <v>2024</v>
      </c>
      <c r="C917" s="5" t="s">
        <v>581</v>
      </c>
      <c r="D917" t="s">
        <v>27</v>
      </c>
      <c r="E917" s="4">
        <v>6.4</v>
      </c>
      <c r="F917" t="str">
        <f t="shared" si="56"/>
        <v>Don't Watch</v>
      </c>
      <c r="G917" t="str">
        <f t="shared" si="57"/>
        <v>Avg</v>
      </c>
      <c r="H917" t="str" cm="1">
        <f t="array" ref="H917">_xlfn.IFS(E917&gt;8,"Best",E917=7,"Good",E917&gt;7,"Good",E917&lt;7,"Avg",E917&lt;6,"Below Avg")</f>
        <v>Avg</v>
      </c>
      <c r="I917">
        <v>118</v>
      </c>
      <c r="K917" s="3">
        <v>29342199</v>
      </c>
      <c r="L917" s="3">
        <v>22561466</v>
      </c>
      <c r="M917" s="3">
        <f t="shared" si="58"/>
        <v>6780733</v>
      </c>
      <c r="N917" t="s">
        <v>637</v>
      </c>
      <c r="O917" t="s">
        <v>638</v>
      </c>
      <c r="P917" t="s">
        <v>11</v>
      </c>
      <c r="Q917" t="str">
        <f t="shared" si="59"/>
        <v>Kid</v>
      </c>
    </row>
    <row r="919" spans="1:17" x14ac:dyDescent="0.3">
      <c r="D919" t="s">
        <v>2178</v>
      </c>
      <c r="E919" s="4" t="s">
        <v>2179</v>
      </c>
      <c r="F919" s="4" t="s">
        <v>2175</v>
      </c>
      <c r="G919" s="4" t="s">
        <v>2176</v>
      </c>
      <c r="H919" s="4" t="s">
        <v>2177</v>
      </c>
      <c r="I919" s="4" t="s">
        <v>2180</v>
      </c>
      <c r="J919" s="4" t="s">
        <v>2181</v>
      </c>
      <c r="K919" s="4" t="s">
        <v>2182</v>
      </c>
      <c r="L919" s="4" t="s">
        <v>2183</v>
      </c>
      <c r="M919" s="4"/>
    </row>
    <row r="920" spans="1:17" x14ac:dyDescent="0.3">
      <c r="D920" t="s">
        <v>2170</v>
      </c>
      <c r="E920" s="4">
        <f>SUM(E2:E917)</f>
        <v>6951.2999999999956</v>
      </c>
      <c r="F920" s="4"/>
      <c r="G920" s="4"/>
      <c r="H920" s="4"/>
      <c r="I920" s="4">
        <f>SUM(I2:I917)</f>
        <v>117279</v>
      </c>
      <c r="J920" s="4">
        <f>SUM(J2:J917)</f>
        <v>0</v>
      </c>
      <c r="K920" s="4">
        <f>SUM(K2:K917)</f>
        <v>37668595786</v>
      </c>
      <c r="L920" s="4">
        <f>SUM(L2:L917)</f>
        <v>22447029079</v>
      </c>
      <c r="M920" s="4"/>
    </row>
    <row r="921" spans="1:17" x14ac:dyDescent="0.3">
      <c r="D921" t="s">
        <v>2171</v>
      </c>
      <c r="E921" s="4">
        <f>AVERAGE(E2:E917)</f>
        <v>7.588755458515279</v>
      </c>
      <c r="F921" s="4"/>
      <c r="G921" s="4"/>
      <c r="H921" s="4"/>
      <c r="I921" s="4">
        <f>AVERAGE(I2:I917)</f>
        <v>128.03384279475983</v>
      </c>
      <c r="J921" s="4" t="e">
        <f>AVERAGE(J2:J917)</f>
        <v>#DIV/0!</v>
      </c>
      <c r="K921" s="4">
        <f>AVERAGE(K2:K917)</f>
        <v>41122921.163755462</v>
      </c>
      <c r="L921" s="4">
        <f>AVERAGE(L2:L917)</f>
        <v>24505490.26091703</v>
      </c>
      <c r="M921" s="4"/>
    </row>
    <row r="922" spans="1:17" x14ac:dyDescent="0.3">
      <c r="D922" t="s">
        <v>2172</v>
      </c>
      <c r="E922" s="4">
        <f>MAX(E2:E917)</f>
        <v>9.1999999999999993</v>
      </c>
      <c r="F922" s="4"/>
      <c r="G922" s="4"/>
      <c r="H922" s="4"/>
      <c r="I922" s="4">
        <f>MAX(I2:I917)</f>
        <v>164</v>
      </c>
      <c r="J922" s="4">
        <f>MAX(J2:J917)</f>
        <v>0</v>
      </c>
      <c r="K922" s="4">
        <f>MAX(K2:K917)</f>
        <v>510700365</v>
      </c>
      <c r="L922" s="4">
        <f>MAX(L2:L917)</f>
        <v>171246357</v>
      </c>
      <c r="M922" s="4"/>
    </row>
    <row r="923" spans="1:17" x14ac:dyDescent="0.3">
      <c r="D923" t="s">
        <v>2173</v>
      </c>
      <c r="E923" s="4">
        <f>MIN(E2:E917)</f>
        <v>6</v>
      </c>
      <c r="F923" s="4"/>
      <c r="G923" s="4"/>
      <c r="H923" s="4"/>
      <c r="I923" s="4">
        <f>MIN(I2:I917)</f>
        <v>90</v>
      </c>
      <c r="J923" s="4">
        <f>MIN(J2:J917)</f>
        <v>0</v>
      </c>
      <c r="K923" s="4">
        <f>MIN(K2:K917)</f>
        <v>25312602</v>
      </c>
      <c r="L923" s="4">
        <f>MIN(L2:L917)</f>
        <v>10849306</v>
      </c>
      <c r="M923" s="4"/>
    </row>
    <row r="924" spans="1:17" x14ac:dyDescent="0.3">
      <c r="D924" t="s">
        <v>2174</v>
      </c>
      <c r="E924" s="4">
        <f>MEDIAN(E2:E917)</f>
        <v>7.6</v>
      </c>
      <c r="F924" s="4"/>
      <c r="G924" s="4"/>
      <c r="H924" s="4"/>
      <c r="I924" s="4">
        <f>MEDIAN(I2:I917)</f>
        <v>129</v>
      </c>
      <c r="J924" s="4" t="e">
        <f>MEDIAN(J2:J917)</f>
        <v>#NUM!</v>
      </c>
      <c r="K924" s="4">
        <f>MEDIAN(K2:K917)</f>
        <v>29082225</v>
      </c>
      <c r="L924" s="4">
        <f>MEDIAN(L2:L917)</f>
        <v>21998189</v>
      </c>
      <c r="M924" s="4"/>
    </row>
  </sheetData>
  <phoneticPr fontId="18" type="noConversion"/>
  <pageMargins left="0.7" right="0.7" top="0.75" bottom="0.75" header="0.3" footer="0.3"/>
  <pageSetup paperSize="9" orientation="portrait" horizontalDpi="4294967293" verticalDpi="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950A-6892-4F4E-8711-AD17A5B486DC}">
  <dimension ref="A9:D19"/>
  <sheetViews>
    <sheetView showGridLines="0" tabSelected="1" zoomScaleNormal="100" workbookViewId="0">
      <selection activeCell="C23" sqref="C23"/>
    </sheetView>
  </sheetViews>
  <sheetFormatPr defaultRowHeight="14.4" x14ac:dyDescent="0.3"/>
  <cols>
    <col min="1" max="1" width="12.5546875" bestFit="1" customWidth="1"/>
    <col min="2" max="3" width="19.109375" style="3" bestFit="1" customWidth="1"/>
    <col min="4" max="4" width="19.109375" bestFit="1" customWidth="1"/>
  </cols>
  <sheetData>
    <row r="9" spans="1:4" x14ac:dyDescent="0.3">
      <c r="A9" s="6" t="s">
        <v>2184</v>
      </c>
      <c r="B9" s="3" t="s">
        <v>2186</v>
      </c>
      <c r="C9" s="3" t="s">
        <v>2192</v>
      </c>
      <c r="D9" t="s">
        <v>2194</v>
      </c>
    </row>
    <row r="10" spans="1:4" x14ac:dyDescent="0.3">
      <c r="A10" s="7">
        <v>2024</v>
      </c>
      <c r="B10" s="3">
        <v>7925670995</v>
      </c>
      <c r="C10" s="3">
        <v>13492212456</v>
      </c>
      <c r="D10" s="3">
        <v>5566541461</v>
      </c>
    </row>
    <row r="11" spans="1:4" x14ac:dyDescent="0.3">
      <c r="A11" s="7">
        <v>2025</v>
      </c>
      <c r="B11" s="3">
        <v>7286510176</v>
      </c>
      <c r="C11" s="3">
        <v>11788070205</v>
      </c>
      <c r="D11" s="3">
        <v>4501560029</v>
      </c>
    </row>
    <row r="12" spans="1:4" x14ac:dyDescent="0.3">
      <c r="A12" s="7">
        <v>2026</v>
      </c>
      <c r="B12" s="3">
        <v>7234847908</v>
      </c>
      <c r="C12" s="3">
        <v>12388313125</v>
      </c>
      <c r="D12" s="3">
        <v>5153465217</v>
      </c>
    </row>
    <row r="13" spans="1:4" x14ac:dyDescent="0.3">
      <c r="A13" s="7" t="s">
        <v>2185</v>
      </c>
      <c r="B13" s="3">
        <v>22447029079</v>
      </c>
      <c r="C13" s="3">
        <v>37668595786</v>
      </c>
      <c r="D13" s="3">
        <v>15221566707</v>
      </c>
    </row>
    <row r="19" spans="4:4" x14ac:dyDescent="0.3">
      <c r="D19" t="s">
        <v>2195</v>
      </c>
    </row>
  </sheetData>
  <sortState xmlns:xlrd2="http://schemas.microsoft.com/office/spreadsheetml/2017/richdata2" columnSort="1" ref="A9:C31">
    <sortCondition descending="1" ref="C9"/>
  </sortState>
  <pageMargins left="0.7" right="0.7" top="0.75" bottom="0.75" header="0.3" footer="0.3"/>
  <pageSetup paperSize="9" orientation="portrait" horizontalDpi="4294967293" verticalDpi="0"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vt:lpstr>
      <vt:lpstr>Box Office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Tanmoy Deb</cp:lastModifiedBy>
  <cp:revision/>
  <dcterms:created xsi:type="dcterms:W3CDTF">2026-08-27T04:53:59Z</dcterms:created>
  <dcterms:modified xsi:type="dcterms:W3CDTF">2026-08-28T17:44:36Z</dcterms:modified>
  <cp:category/>
  <cp:contentStatus/>
</cp:coreProperties>
</file>